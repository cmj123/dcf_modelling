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11" codeName="{6BE1CDB9-6C1C-A5B6-3FC1-E231EC3C600E}"/>
  <workbookPr filterPrivacy="1" codeName="ThisWorkbook" defaultThemeVersion="124226"/>
  <xr:revisionPtr revIDLastSave="0" documentId="13_ncr:1_{56B24B65-111A-A048-AEE0-CCDB6D5B8DF3}" xr6:coauthVersionLast="46" xr6:coauthVersionMax="46" xr10:uidLastSave="{00000000-0000-0000-0000-000000000000}"/>
  <bookViews>
    <workbookView xWindow="0" yWindow="500" windowWidth="28800" windowHeight="15800" firstSheet="2" activeTab="6" xr2:uid="{00000000-000D-0000-FFFF-FFFF00000000}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91029"/>
</workbook>
</file>

<file path=xl/calcChain.xml><?xml version="1.0" encoding="utf-8"?>
<calcChain xmlns="http://schemas.openxmlformats.org/spreadsheetml/2006/main">
  <c r="K11" i="9" l="1"/>
  <c r="J11" i="9"/>
  <c r="I11" i="9"/>
  <c r="H11" i="9"/>
  <c r="G11" i="9"/>
  <c r="I21" i="7"/>
  <c r="J21" i="7" s="1"/>
  <c r="K21" i="7" s="1"/>
  <c r="H21" i="7"/>
  <c r="G21" i="7"/>
  <c r="H19" i="7"/>
  <c r="I19" i="7"/>
  <c r="J19" i="7"/>
  <c r="K19" i="7"/>
  <c r="G19" i="7"/>
  <c r="K6" i="7"/>
  <c r="J6" i="7"/>
  <c r="I6" i="7"/>
  <c r="H6" i="7"/>
  <c r="G6" i="7"/>
  <c r="K4" i="7"/>
  <c r="J4" i="7"/>
  <c r="I4" i="7"/>
  <c r="H4" i="7"/>
  <c r="G4" i="7"/>
  <c r="K8" i="9"/>
  <c r="J8" i="9"/>
  <c r="I8" i="9"/>
  <c r="H8" i="9"/>
  <c r="G8" i="9"/>
  <c r="D25" i="7"/>
  <c r="E25" i="7"/>
  <c r="C25" i="7"/>
  <c r="D23" i="7"/>
  <c r="E23" i="7"/>
  <c r="C23" i="7"/>
  <c r="D14" i="7"/>
  <c r="E14" i="7"/>
  <c r="C14" i="7"/>
  <c r="D21" i="7"/>
  <c r="E21" i="7"/>
  <c r="C21" i="7"/>
  <c r="D19" i="7"/>
  <c r="E19" i="7"/>
  <c r="C19" i="7"/>
  <c r="D12" i="7"/>
  <c r="E12" i="7"/>
  <c r="C12" i="7"/>
  <c r="D6" i="7"/>
  <c r="E6" i="7"/>
  <c r="C6" i="7"/>
  <c r="D4" i="7"/>
  <c r="E4" i="7"/>
  <c r="C4" i="7"/>
  <c r="J17" i="5"/>
  <c r="K18" i="7"/>
  <c r="J18" i="7"/>
  <c r="I18" i="7"/>
  <c r="H18" i="7"/>
  <c r="G18" i="7"/>
  <c r="F18" i="7"/>
  <c r="E18" i="7"/>
  <c r="D18" i="7"/>
  <c r="C18" i="7"/>
  <c r="K17" i="7"/>
  <c r="J17" i="7"/>
  <c r="I17" i="7"/>
  <c r="H17" i="7"/>
  <c r="G17" i="7"/>
  <c r="F17" i="7"/>
  <c r="E17" i="7"/>
  <c r="D17" i="7"/>
  <c r="C17" i="7"/>
  <c r="K16" i="7"/>
  <c r="J16" i="7"/>
  <c r="I16" i="7"/>
  <c r="H16" i="7"/>
  <c r="H23" i="7" s="1"/>
  <c r="G16" i="7"/>
  <c r="G23" i="7" s="1"/>
  <c r="F16" i="7"/>
  <c r="E16" i="7"/>
  <c r="D16" i="7"/>
  <c r="C16" i="7"/>
  <c r="K10" i="7"/>
  <c r="J10" i="7"/>
  <c r="I10" i="7"/>
  <c r="H10" i="7"/>
  <c r="G10" i="7"/>
  <c r="F10" i="7"/>
  <c r="E10" i="7"/>
  <c r="D10" i="7"/>
  <c r="C10" i="7"/>
  <c r="K9" i="7"/>
  <c r="J9" i="7"/>
  <c r="I9" i="7"/>
  <c r="H9" i="7"/>
  <c r="G9" i="7"/>
  <c r="F9" i="7"/>
  <c r="E9" i="7"/>
  <c r="D9" i="7"/>
  <c r="C9" i="7"/>
  <c r="K8" i="7"/>
  <c r="J8" i="7"/>
  <c r="I8" i="7"/>
  <c r="H8" i="7"/>
  <c r="G8" i="7"/>
  <c r="F8" i="7"/>
  <c r="E8" i="7"/>
  <c r="D8" i="7"/>
  <c r="C8" i="7"/>
  <c r="K5" i="7"/>
  <c r="K14" i="7" s="1"/>
  <c r="J5" i="7"/>
  <c r="J14" i="7" s="1"/>
  <c r="I5" i="7"/>
  <c r="H5" i="7"/>
  <c r="G5" i="7"/>
  <c r="F5" i="7"/>
  <c r="E5" i="7"/>
  <c r="D5" i="7"/>
  <c r="C5" i="7"/>
  <c r="H21" i="5"/>
  <c r="I21" i="5"/>
  <c r="J21" i="5"/>
  <c r="K21" i="5"/>
  <c r="G21" i="5"/>
  <c r="C21" i="5"/>
  <c r="D22" i="5"/>
  <c r="E22" i="5"/>
  <c r="C22" i="5"/>
  <c r="H45" i="8"/>
  <c r="I45" i="8"/>
  <c r="J45" i="8"/>
  <c r="K45" i="8"/>
  <c r="G45" i="8"/>
  <c r="G39" i="8"/>
  <c r="K18" i="5"/>
  <c r="J18" i="5"/>
  <c r="I18" i="5"/>
  <c r="H18" i="5"/>
  <c r="G18" i="5"/>
  <c r="F18" i="5"/>
  <c r="E18" i="5"/>
  <c r="D18" i="5"/>
  <c r="C18" i="5"/>
  <c r="K17" i="5"/>
  <c r="I17" i="5"/>
  <c r="H17" i="5"/>
  <c r="G17" i="5"/>
  <c r="F17" i="5"/>
  <c r="E17" i="5"/>
  <c r="D17" i="5"/>
  <c r="C17" i="5"/>
  <c r="K14" i="5"/>
  <c r="J14" i="5"/>
  <c r="I14" i="5"/>
  <c r="H14" i="5"/>
  <c r="G14" i="5"/>
  <c r="F14" i="5"/>
  <c r="E14" i="5"/>
  <c r="D14" i="5"/>
  <c r="C14" i="5"/>
  <c r="K11" i="5"/>
  <c r="J11" i="5"/>
  <c r="I11" i="5"/>
  <c r="H11" i="5"/>
  <c r="G11" i="5"/>
  <c r="F11" i="5"/>
  <c r="E11" i="5"/>
  <c r="D11" i="5"/>
  <c r="C11" i="5"/>
  <c r="K8" i="5"/>
  <c r="J8" i="5"/>
  <c r="I8" i="5"/>
  <c r="H8" i="5"/>
  <c r="G8" i="5"/>
  <c r="F8" i="5"/>
  <c r="E8" i="5"/>
  <c r="D8" i="5"/>
  <c r="C8" i="5"/>
  <c r="K5" i="5"/>
  <c r="J5" i="5"/>
  <c r="I5" i="5"/>
  <c r="H5" i="5"/>
  <c r="G5" i="5"/>
  <c r="F5" i="5"/>
  <c r="E5" i="5"/>
  <c r="D5" i="5"/>
  <c r="C5" i="5"/>
  <c r="K4" i="5"/>
  <c r="K6" i="5" s="1"/>
  <c r="K9" i="5" s="1"/>
  <c r="K12" i="5" s="1"/>
  <c r="K15" i="5" s="1"/>
  <c r="J4" i="5"/>
  <c r="J6" i="5" s="1"/>
  <c r="J9" i="5" s="1"/>
  <c r="J12" i="5" s="1"/>
  <c r="J15" i="5" s="1"/>
  <c r="I4" i="5"/>
  <c r="H4" i="5"/>
  <c r="G4" i="5"/>
  <c r="G6" i="5" s="1"/>
  <c r="F4" i="5"/>
  <c r="F6" i="5" s="1"/>
  <c r="E4" i="5"/>
  <c r="E6" i="5" s="1"/>
  <c r="D4" i="5"/>
  <c r="C4" i="5"/>
  <c r="K20" i="9"/>
  <c r="J20" i="9"/>
  <c r="I20" i="9"/>
  <c r="H20" i="9"/>
  <c r="G20" i="9"/>
  <c r="K17" i="9"/>
  <c r="J17" i="9"/>
  <c r="I17" i="9"/>
  <c r="H17" i="9"/>
  <c r="G17" i="9"/>
  <c r="K14" i="9"/>
  <c r="J14" i="9"/>
  <c r="I14" i="9"/>
  <c r="H14" i="9"/>
  <c r="G14" i="9"/>
  <c r="K21" i="9"/>
  <c r="J21" i="9"/>
  <c r="I21" i="9"/>
  <c r="H21" i="9"/>
  <c r="G21" i="9"/>
  <c r="K18" i="9"/>
  <c r="J18" i="9"/>
  <c r="I18" i="9"/>
  <c r="H18" i="9"/>
  <c r="G18" i="9"/>
  <c r="K15" i="9"/>
  <c r="J15" i="9"/>
  <c r="I15" i="9"/>
  <c r="H15" i="9"/>
  <c r="G15" i="9"/>
  <c r="D20" i="9"/>
  <c r="D21" i="9" s="1"/>
  <c r="E20" i="9"/>
  <c r="E21" i="9" s="1"/>
  <c r="C20" i="9"/>
  <c r="C21" i="9" s="1"/>
  <c r="E18" i="9"/>
  <c r="D18" i="9"/>
  <c r="C18" i="9"/>
  <c r="D17" i="9"/>
  <c r="E17" i="9"/>
  <c r="F17" i="9"/>
  <c r="C17" i="9"/>
  <c r="D15" i="9"/>
  <c r="E15" i="9"/>
  <c r="C15" i="9"/>
  <c r="D14" i="9"/>
  <c r="E14" i="9"/>
  <c r="C14" i="9"/>
  <c r="H5" i="9"/>
  <c r="I5" i="9"/>
  <c r="J5" i="9"/>
  <c r="K5" i="9"/>
  <c r="H12" i="9"/>
  <c r="I12" i="9"/>
  <c r="J12" i="9"/>
  <c r="K12" i="9"/>
  <c r="G12" i="9"/>
  <c r="H9" i="9"/>
  <c r="I9" i="9"/>
  <c r="J9" i="9"/>
  <c r="K9" i="9"/>
  <c r="G9" i="9"/>
  <c r="H6" i="9"/>
  <c r="I6" i="9"/>
  <c r="J6" i="9"/>
  <c r="K6" i="9"/>
  <c r="G6" i="9"/>
  <c r="H14" i="7" l="1"/>
  <c r="K23" i="7"/>
  <c r="I14" i="7"/>
  <c r="I23" i="7"/>
  <c r="J23" i="7"/>
  <c r="J19" i="5"/>
  <c r="J22" i="5" s="1"/>
  <c r="J24" i="5"/>
  <c r="K19" i="5"/>
  <c r="G9" i="5"/>
  <c r="G12" i="5" s="1"/>
  <c r="G15" i="5" s="1"/>
  <c r="G19" i="5" s="1"/>
  <c r="H6" i="5"/>
  <c r="H9" i="5" s="1"/>
  <c r="H12" i="5" s="1"/>
  <c r="H15" i="5" s="1"/>
  <c r="H19" i="5" s="1"/>
  <c r="I6" i="5"/>
  <c r="I9" i="5" s="1"/>
  <c r="I12" i="5" s="1"/>
  <c r="I15" i="5" s="1"/>
  <c r="I19" i="5" s="1"/>
  <c r="E9" i="5"/>
  <c r="E12" i="5" s="1"/>
  <c r="E15" i="5" s="1"/>
  <c r="E19" i="5" s="1"/>
  <c r="F9" i="5"/>
  <c r="F12" i="5" s="1"/>
  <c r="F15" i="5" s="1"/>
  <c r="F19" i="5" s="1"/>
  <c r="F24" i="5" s="1"/>
  <c r="D6" i="5"/>
  <c r="D9" i="5" s="1"/>
  <c r="D12" i="5" s="1"/>
  <c r="D15" i="5" s="1"/>
  <c r="D19" i="5" s="1"/>
  <c r="C6" i="5"/>
  <c r="C9" i="5" s="1"/>
  <c r="C12" i="5" s="1"/>
  <c r="C15" i="5" s="1"/>
  <c r="C19" i="5" s="1"/>
  <c r="C24" i="5" s="1"/>
  <c r="E12" i="9"/>
  <c r="D12" i="9"/>
  <c r="C12" i="9"/>
  <c r="D9" i="9"/>
  <c r="E9" i="9"/>
  <c r="C9" i="9"/>
  <c r="D6" i="9"/>
  <c r="E6" i="9"/>
  <c r="C6" i="9"/>
  <c r="D11" i="9"/>
  <c r="E11" i="9"/>
  <c r="C11" i="9"/>
  <c r="D8" i="9"/>
  <c r="E8" i="9"/>
  <c r="C8" i="9"/>
  <c r="D5" i="9"/>
  <c r="E5" i="9"/>
  <c r="C5" i="9"/>
  <c r="D46" i="8"/>
  <c r="E46" i="8"/>
  <c r="C46" i="8"/>
  <c r="D52" i="8"/>
  <c r="E52" i="8"/>
  <c r="C52" i="8"/>
  <c r="J46" i="8"/>
  <c r="I39" i="8"/>
  <c r="J39" i="8" s="1"/>
  <c r="K39" i="8" s="1"/>
  <c r="H39" i="8"/>
  <c r="G40" i="8"/>
  <c r="E34" i="8"/>
  <c r="D34" i="8"/>
  <c r="C34" i="8"/>
  <c r="E28" i="8"/>
  <c r="D28" i="8"/>
  <c r="C28" i="8"/>
  <c r="K25" i="8"/>
  <c r="J25" i="8"/>
  <c r="I25" i="8"/>
  <c r="H25" i="8"/>
  <c r="K24" i="8"/>
  <c r="J24" i="8"/>
  <c r="I24" i="8"/>
  <c r="H24" i="8"/>
  <c r="K23" i="8"/>
  <c r="J23" i="8"/>
  <c r="I23" i="8"/>
  <c r="H23" i="8"/>
  <c r="G25" i="8"/>
  <c r="G23" i="8"/>
  <c r="G24" i="8"/>
  <c r="E22" i="8"/>
  <c r="D22" i="8"/>
  <c r="C22" i="8"/>
  <c r="K52" i="8"/>
  <c r="K46" i="8" s="1"/>
  <c r="J52" i="8"/>
  <c r="I52" i="8"/>
  <c r="I46" i="8" s="1"/>
  <c r="H52" i="8"/>
  <c r="H46" i="8" s="1"/>
  <c r="G52" i="8"/>
  <c r="G46" i="8" s="1"/>
  <c r="K40" i="8"/>
  <c r="J40" i="8"/>
  <c r="I40" i="8"/>
  <c r="H40" i="8"/>
  <c r="K34" i="8"/>
  <c r="J34" i="8"/>
  <c r="I34" i="8"/>
  <c r="H34" i="8"/>
  <c r="G34" i="8"/>
  <c r="K28" i="8"/>
  <c r="J28" i="8"/>
  <c r="I28" i="8"/>
  <c r="H28" i="8"/>
  <c r="G28" i="8"/>
  <c r="H22" i="8"/>
  <c r="J22" i="8" s="1"/>
  <c r="G22" i="8"/>
  <c r="K16" i="8"/>
  <c r="J16" i="8"/>
  <c r="I16" i="8"/>
  <c r="H16" i="8"/>
  <c r="G16" i="8"/>
  <c r="G15" i="8" s="1"/>
  <c r="E51" i="8"/>
  <c r="D51" i="8"/>
  <c r="C51" i="8"/>
  <c r="E45" i="8"/>
  <c r="D45" i="8"/>
  <c r="C45" i="8"/>
  <c r="E39" i="8"/>
  <c r="D39" i="8"/>
  <c r="C39" i="8"/>
  <c r="E33" i="8"/>
  <c r="D33" i="8"/>
  <c r="C33" i="8"/>
  <c r="E27" i="8"/>
  <c r="D27" i="8"/>
  <c r="C27" i="8"/>
  <c r="D21" i="8"/>
  <c r="E21" i="8"/>
  <c r="C21" i="8"/>
  <c r="D21" i="5" l="1"/>
  <c r="D24" i="5" s="1"/>
  <c r="E21" i="5"/>
  <c r="E24" i="5" s="1"/>
  <c r="G22" i="5"/>
  <c r="G24" i="5" s="1"/>
  <c r="I22" i="5"/>
  <c r="I24" i="5" s="1"/>
  <c r="K22" i="5"/>
  <c r="K24" i="5" s="1"/>
  <c r="H22" i="5"/>
  <c r="H24" i="5" s="1"/>
  <c r="H15" i="8"/>
  <c r="I15" i="8" s="1"/>
  <c r="J15" i="8" s="1"/>
  <c r="K15" i="8" s="1"/>
  <c r="I22" i="8"/>
  <c r="K22" i="8" l="1"/>
  <c r="D15" i="8" l="1"/>
  <c r="E15" i="8"/>
  <c r="C15" i="8"/>
  <c r="K10" i="8"/>
  <c r="J10" i="8"/>
  <c r="I10" i="8"/>
  <c r="H10" i="8"/>
  <c r="G10" i="8"/>
  <c r="G9" i="8" s="1"/>
  <c r="G5" i="9" s="1"/>
  <c r="E10" i="8"/>
  <c r="D10" i="8"/>
  <c r="D9" i="8"/>
  <c r="E9" i="8"/>
  <c r="C9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G21" i="8" l="1"/>
  <c r="G27" i="8"/>
  <c r="G33" i="8"/>
  <c r="H9" i="8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H27" i="8" l="1"/>
  <c r="H33" i="8"/>
  <c r="I9" i="8"/>
  <c r="H21" i="8"/>
  <c r="E8" i="3"/>
  <c r="K17" i="3"/>
  <c r="J17" i="3"/>
  <c r="D15" i="3"/>
  <c r="F15" i="3"/>
  <c r="F8" i="3"/>
  <c r="D8" i="3"/>
  <c r="L17" i="3"/>
  <c r="E15" i="3"/>
  <c r="L8" i="3"/>
  <c r="K8" i="3"/>
  <c r="J8" i="3"/>
  <c r="I33" i="8" l="1"/>
  <c r="I27" i="8"/>
  <c r="J9" i="8"/>
  <c r="I21" i="8"/>
  <c r="D19" i="3"/>
  <c r="F19" i="3"/>
  <c r="L19" i="3"/>
  <c r="J19" i="3"/>
  <c r="K19" i="3"/>
  <c r="E19" i="3"/>
  <c r="J27" i="8" l="1"/>
  <c r="J33" i="8"/>
  <c r="K9" i="8"/>
  <c r="J21" i="8"/>
  <c r="L22" i="3"/>
  <c r="K22" i="3"/>
  <c r="J22" i="3"/>
  <c r="K21" i="8" l="1"/>
  <c r="K33" i="8"/>
  <c r="K27" i="8"/>
  <c r="G14" i="7" l="1"/>
</calcChain>
</file>

<file path=xl/sharedStrings.xml><?xml version="1.0" encoding="utf-8"?>
<sst xmlns="http://schemas.openxmlformats.org/spreadsheetml/2006/main" count="240" uniqueCount="114">
  <si>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</si>
  <si>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</si>
  <si>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</si>
  <si>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</si>
  <si>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</si>
  <si>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</si>
  <si>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</si>
  <si>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</si>
  <si>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</si>
  <si>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</si>
  <si>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</si>
  <si>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</si>
  <si>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</si>
  <si>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</si>
  <si>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</si>
  <si>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</si>
  <si>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</si>
  <si>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</si>
  <si>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</si>
  <si>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</si>
  <si>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</si>
  <si>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</si>
  <si>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</si>
  <si>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</si>
  <si>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</si>
  <si>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</si>
  <si>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</si>
  <si>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</si>
  <si>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</si>
  <si>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</si>
  <si>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</si>
  <si>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</si>
  <si>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</si>
  <si>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</si>
  <si>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</si>
  <si>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</si>
  <si>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</si>
  <si>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</si>
  <si>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</si>
  <si>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</si>
  <si>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</si>
  <si>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</si>
  <si>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</si>
  <si>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</si>
  <si>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</si>
  <si>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</si>
  <si>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</si>
  <si>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</si>
  <si>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</si>
  <si>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</si>
  <si>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</si>
  <si>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</si>
  <si>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</si>
  <si>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</si>
  <si>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</si>
  <si>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</si>
  <si>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</si>
  <si>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</si>
  <si>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</si>
  <si>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</si>
  <si>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</si>
  <si>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</si>
  <si>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</si>
  <si>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</si>
  <si>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</si>
  <si>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</si>
  <si>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</si>
  <si>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Revenues</t>
  </si>
  <si>
    <t>Other revenues</t>
  </si>
  <si>
    <t>Cost of goods sold</t>
  </si>
  <si>
    <t>Operating expenses</t>
  </si>
  <si>
    <t>Trade receivable</t>
  </si>
  <si>
    <t>Total Revenues</t>
  </si>
  <si>
    <t>Gross Margin</t>
  </si>
  <si>
    <t>Tax rate</t>
  </si>
  <si>
    <t xml:space="preserve"> </t>
  </si>
  <si>
    <t>Financial liabilities</t>
  </si>
  <si>
    <t>Shareholders' equity</t>
  </si>
  <si>
    <t>Total Liabilities &amp; Equities</t>
  </si>
  <si>
    <t>FY16
Actual</t>
  </si>
  <si>
    <t>FY17
Actual</t>
  </si>
  <si>
    <t>FY18
Actual</t>
  </si>
  <si>
    <t>FY19
Forecast</t>
  </si>
  <si>
    <t>FY20
Forecast</t>
  </si>
  <si>
    <t>FY21
Forecast</t>
  </si>
  <si>
    <t>FY22
Forecast</t>
  </si>
  <si>
    <t>FY23
Forecast</t>
  </si>
  <si>
    <t>2016
Act</t>
  </si>
  <si>
    <t>2017
Act</t>
  </si>
  <si>
    <t>2018
Act</t>
  </si>
  <si>
    <t>31Dec16
Act</t>
  </si>
  <si>
    <t>31Dec17
Act</t>
  </si>
  <si>
    <t>31Dec18
Act</t>
  </si>
  <si>
    <t>Selected case</t>
  </si>
  <si>
    <t>Scenarios:</t>
  </si>
  <si>
    <t>Case 1:</t>
  </si>
  <si>
    <t>Case 2:</t>
  </si>
  <si>
    <t>Case 3:</t>
  </si>
  <si>
    <t>Optimistic Case</t>
  </si>
  <si>
    <t>Base case</t>
  </si>
  <si>
    <t>Worst Case</t>
  </si>
  <si>
    <t>y-o-y growth</t>
  </si>
  <si>
    <t>y-o-y growth %</t>
  </si>
  <si>
    <t>% of revenues</t>
  </si>
  <si>
    <t>Operating Expenses</t>
  </si>
  <si>
    <t>Interest expense</t>
  </si>
  <si>
    <t>% of EBT</t>
  </si>
  <si>
    <t>Days receivable</t>
  </si>
  <si>
    <t>Days Inventory</t>
  </si>
  <si>
    <t>Trade payables</t>
  </si>
  <si>
    <t>Days payable</t>
  </si>
  <si>
    <t>as a % of revenue</t>
  </si>
  <si>
    <t>Check</t>
  </si>
  <si>
    <t>Flat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</si>
</sst>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_-* #,##0_-;\-* #,##0_-;_-* &quot;-&quot;_-;_-@_-"/>
    <numFmt numFmtId="165" formatCode="_(&quot;$&quot;* #,##0_);_(&quot;$&quot;* \(#,##0\);_(&quot;$&quot;* &quot;-&quot;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-* #,##0.00\ &quot;€&quot;_-;\-* #,##0.00\ &quot;€&quot;_-;_-* &quot;-&quot;??\ &quot;€&quot;_-;_-@_-"/>
    <numFmt numFmtId="172" formatCode="_-* #,##0.00\ _€_-;\-* #,##0.00\ _€_-;_-* &quot;-&quot;??\ _€_-;_-@_-"/>
    <numFmt numFmtId="173" formatCode="_-* #,##0\ _D_M_-;\-* #,##0\ _D_M_-;_-* &quot;-&quot;\ _D_M_-;_-@_-"/>
    <numFmt numFmtId="174" formatCode="_-* #,##0.00\ &quot;Kc&quot;_-;\-* #,##0.00\ &quot;Kc&quot;_-;_-* &quot;-&quot;??\ &quot;Kc&quot;_-;_-@_-"/>
    <numFmt numFmtId="175" formatCode="\(0\'\)"/>
    <numFmt numFmtId="176" formatCode="0.00_)"/>
    <numFmt numFmtId="177" formatCode="#,##0;\(#,##0\);&quot;-&quot;"/>
    <numFmt numFmtId="178" formatCode="#,##0_);\(#,##0\);&quot; - &quot;_);@_)"/>
    <numFmt numFmtId="179" formatCode="\ #,##0.0_);\(#,##0.0\);&quot; - &quot;_);@_)"/>
    <numFmt numFmtId="180" formatCode="_(* #,##0.00_);_(* \(#,##0.00\);_(* &quot;-&quot;?_);@_)"/>
  </numFmts>
  <fonts count="65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8"/>
      <color theme="0"/>
      <name val="Arial"/>
      <family val="2"/>
    </font>
    <font>
      <u/>
      <sz val="11"/>
      <color theme="10"/>
      <name val="Calibri"/>
      <family val="2"/>
      <scheme val="minor"/>
    </font>
    <font>
      <b/>
      <sz val="40"/>
      <color rgb="FF002060"/>
      <name val="Arial"/>
      <family val="2"/>
    </font>
    <font>
      <sz val="40"/>
      <color theme="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1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</borders>
  <cellStyleXfs count="165">
    <xf numFmtId="0" fontId="0" fillId="0" borderId="0"/>
    <xf numFmtId="0" fontId="4" fillId="0" borderId="1" applyFill="0" applyProtection="0">
      <alignment horizontal="right" wrapText="1"/>
    </xf>
    <xf numFmtId="9" fontId="6" fillId="0" borderId="0" applyFont="0" applyFill="0" applyBorder="0" applyAlignment="0" applyProtection="0"/>
    <xf numFmtId="0" fontId="11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5" borderId="5"/>
    <xf numFmtId="0" fontId="14" fillId="0" borderId="0"/>
    <xf numFmtId="0" fontId="11" fillId="0" borderId="0"/>
    <xf numFmtId="0" fontId="11" fillId="0" borderId="0"/>
    <xf numFmtId="0" fontId="14" fillId="0" borderId="0"/>
    <xf numFmtId="0" fontId="14" fillId="0" borderId="0"/>
    <xf numFmtId="0" fontId="15" fillId="0" borderId="0"/>
    <xf numFmtId="0" fontId="16" fillId="6" borderId="0" applyNumberFormat="0" applyBorder="0" applyAlignment="0" applyProtection="0"/>
    <xf numFmtId="0" fontId="16" fillId="7" borderId="0" applyNumberFormat="0" applyBorder="0" applyAlignment="0" applyProtection="0"/>
    <xf numFmtId="0" fontId="16" fillId="8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9" borderId="0" applyNumberFormat="0" applyBorder="0" applyAlignment="0" applyProtection="0"/>
    <xf numFmtId="0" fontId="16" fillId="12" borderId="0" applyNumberFormat="0" applyBorder="0" applyAlignment="0" applyProtection="0"/>
    <xf numFmtId="0" fontId="16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23" borderId="0" applyNumberFormat="0" applyBorder="0" applyAlignment="0" applyProtection="0"/>
    <xf numFmtId="0" fontId="11" fillId="0" borderId="0"/>
    <xf numFmtId="0" fontId="18" fillId="7" borderId="0" applyNumberFormat="0" applyBorder="0" applyAlignment="0" applyProtection="0"/>
    <xf numFmtId="0" fontId="19" fillId="24" borderId="6" applyNumberFormat="0" applyAlignment="0" applyProtection="0"/>
    <xf numFmtId="0" fontId="20" fillId="25" borderId="7" applyNumberFormat="0" applyAlignment="0" applyProtection="0"/>
    <xf numFmtId="49" fontId="12" fillId="0" borderId="0">
      <alignment horizontal="left" vertical="top" wrapText="1"/>
    </xf>
    <xf numFmtId="171" fontId="11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8" borderId="0" applyNumberFormat="0" applyBorder="0" applyAlignment="0" applyProtection="0"/>
    <xf numFmtId="38" fontId="12" fillId="26" borderId="0" applyNumberFormat="0" applyBorder="0" applyAlignment="0" applyProtection="0"/>
    <xf numFmtId="0" fontId="23" fillId="0" borderId="8" applyNumberFormat="0" applyFill="0" applyAlignment="0" applyProtection="0"/>
    <xf numFmtId="0" fontId="24" fillId="0" borderId="9" applyNumberFormat="0" applyFill="0" applyAlignment="0" applyProtection="0"/>
    <xf numFmtId="0" fontId="25" fillId="0" borderId="10" applyNumberFormat="0" applyFill="0" applyAlignment="0" applyProtection="0"/>
    <xf numFmtId="0" fontId="25" fillId="0" borderId="0" applyNumberFormat="0" applyFill="0" applyBorder="0" applyAlignment="0" applyProtection="0"/>
    <xf numFmtId="0" fontId="26" fillId="11" borderId="6" applyNumberFormat="0" applyAlignment="0" applyProtection="0"/>
    <xf numFmtId="10" fontId="12" fillId="5" borderId="11" applyNumberFormat="0" applyBorder="0" applyAlignment="0" applyProtection="0"/>
    <xf numFmtId="0" fontId="27" fillId="0" borderId="12" applyNumberFormat="0" applyFill="0" applyAlignment="0" applyProtection="0"/>
    <xf numFmtId="174" fontId="28" fillId="0" borderId="0" applyFont="0" applyFill="0" applyBorder="0" applyAlignment="0" applyProtection="0"/>
    <xf numFmtId="173" fontId="11" fillId="0" borderId="0" applyFont="0" applyFill="0" applyBorder="0" applyAlignment="0" applyProtection="0"/>
    <xf numFmtId="4" fontId="29" fillId="0" borderId="0" applyFont="0" applyFill="0" applyBorder="0" applyAlignment="0" applyProtection="0"/>
    <xf numFmtId="165" fontId="11" fillId="0" borderId="0" applyFont="0" applyFill="0" applyBorder="0" applyAlignment="0" applyProtection="0"/>
    <xf numFmtId="175" fontId="11" fillId="0" borderId="0" applyFont="0" applyFill="0" applyBorder="0" applyAlignment="0" applyProtection="0"/>
    <xf numFmtId="0" fontId="30" fillId="27" borderId="0" applyNumberFormat="0" applyBorder="0" applyAlignment="0" applyProtection="0"/>
    <xf numFmtId="176" fontId="31" fillId="0" borderId="0"/>
    <xf numFmtId="0" fontId="28" fillId="0" borderId="0"/>
    <xf numFmtId="0" fontId="16" fillId="28" borderId="13" applyNumberFormat="0" applyFont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33" fillId="24" borderId="14" applyNumberFormat="0" applyAlignment="0" applyProtection="0"/>
    <xf numFmtId="9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32" fillId="0" borderId="0" applyNumberFormat="0" applyFont="0" applyFill="0" applyBorder="0" applyAlignment="0" applyProtection="0">
      <alignment horizontal="left"/>
    </xf>
    <xf numFmtId="15" fontId="32" fillId="0" borderId="0" applyFont="0" applyFill="0" applyBorder="0" applyAlignment="0" applyProtection="0"/>
    <xf numFmtId="4" fontId="32" fillId="0" borderId="0" applyFont="0" applyFill="0" applyBorder="0" applyAlignment="0" applyProtection="0"/>
    <xf numFmtId="0" fontId="34" fillId="0" borderId="15">
      <alignment horizontal="center"/>
    </xf>
    <xf numFmtId="3" fontId="32" fillId="0" borderId="0" applyFont="0" applyFill="0" applyBorder="0" applyAlignment="0" applyProtection="0"/>
    <xf numFmtId="0" fontId="32" fillId="29" borderId="0" applyNumberFormat="0" applyFont="0" applyBorder="0" applyAlignment="0" applyProtection="0"/>
    <xf numFmtId="3" fontId="44" fillId="30" borderId="0" applyFont="0" applyFill="0" applyBorder="0" applyAlignment="0" applyProtection="0"/>
    <xf numFmtId="4" fontId="35" fillId="31" borderId="14" applyNumberFormat="0" applyProtection="0">
      <alignment vertical="center"/>
    </xf>
    <xf numFmtId="4" fontId="36" fillId="31" borderId="14" applyNumberFormat="0" applyProtection="0">
      <alignment vertical="center"/>
    </xf>
    <xf numFmtId="4" fontId="35" fillId="31" borderId="14" applyNumberFormat="0" applyProtection="0">
      <alignment horizontal="left" vertical="center" indent="1"/>
    </xf>
    <xf numFmtId="4" fontId="35" fillId="31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4" fontId="35" fillId="33" borderId="14" applyNumberFormat="0" applyProtection="0">
      <alignment horizontal="right" vertical="center"/>
    </xf>
    <xf numFmtId="4" fontId="35" fillId="34" borderId="14" applyNumberFormat="0" applyProtection="0">
      <alignment horizontal="right" vertical="center"/>
    </xf>
    <xf numFmtId="4" fontId="35" fillId="35" borderId="14" applyNumberFormat="0" applyProtection="0">
      <alignment horizontal="right" vertical="center"/>
    </xf>
    <xf numFmtId="4" fontId="35" fillId="36" borderId="14" applyNumberFormat="0" applyProtection="0">
      <alignment horizontal="right" vertical="center"/>
    </xf>
    <xf numFmtId="4" fontId="35" fillId="37" borderId="14" applyNumberFormat="0" applyProtection="0">
      <alignment horizontal="right" vertical="center"/>
    </xf>
    <xf numFmtId="4" fontId="35" fillId="38" borderId="14" applyNumberFormat="0" applyProtection="0">
      <alignment horizontal="right" vertical="center"/>
    </xf>
    <xf numFmtId="4" fontId="35" fillId="39" borderId="14" applyNumberFormat="0" applyProtection="0">
      <alignment horizontal="right" vertical="center"/>
    </xf>
    <xf numFmtId="4" fontId="35" fillId="40" borderId="14" applyNumberFormat="0" applyProtection="0">
      <alignment horizontal="right" vertical="center"/>
    </xf>
    <xf numFmtId="4" fontId="35" fillId="41" borderId="14" applyNumberFormat="0" applyProtection="0">
      <alignment horizontal="right" vertical="center"/>
    </xf>
    <xf numFmtId="4" fontId="37" fillId="42" borderId="14" applyNumberFormat="0" applyProtection="0">
      <alignment horizontal="left" vertical="center" indent="1"/>
    </xf>
    <xf numFmtId="4" fontId="35" fillId="43" borderId="16" applyNumberFormat="0" applyProtection="0">
      <alignment horizontal="left" vertical="center" indent="1"/>
    </xf>
    <xf numFmtId="4" fontId="38" fillId="44" borderId="0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4" fontId="35" fillId="43" borderId="14" applyNumberFormat="0" applyProtection="0">
      <alignment horizontal="left" vertical="center" indent="1"/>
    </xf>
    <xf numFmtId="4" fontId="35" fillId="45" borderId="14" applyNumberFormat="0" applyProtection="0">
      <alignment horizontal="left" vertical="center" indent="1"/>
    </xf>
    <xf numFmtId="0" fontId="11" fillId="45" borderId="14" applyNumberFormat="0" applyProtection="0">
      <alignment horizontal="left" vertical="center" indent="1"/>
    </xf>
    <xf numFmtId="0" fontId="11" fillId="45" borderId="14" applyNumberFormat="0" applyProtection="0">
      <alignment horizontal="left" vertical="center" indent="1"/>
    </xf>
    <xf numFmtId="0" fontId="11" fillId="46" borderId="14" applyNumberFormat="0" applyProtection="0">
      <alignment horizontal="left" vertical="center" indent="1"/>
    </xf>
    <xf numFmtId="0" fontId="11" fillId="46" borderId="14" applyNumberFormat="0" applyProtection="0">
      <alignment horizontal="left" vertical="center" indent="1"/>
    </xf>
    <xf numFmtId="0" fontId="11" fillId="26" borderId="14" applyNumberFormat="0" applyProtection="0">
      <alignment horizontal="left" vertical="center" indent="1"/>
    </xf>
    <xf numFmtId="0" fontId="11" fillId="26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4" fontId="35" fillId="5" borderId="14" applyNumberFormat="0" applyProtection="0">
      <alignment vertical="center"/>
    </xf>
    <xf numFmtId="4" fontId="36" fillId="5" borderId="14" applyNumberFormat="0" applyProtection="0">
      <alignment vertical="center"/>
    </xf>
    <xf numFmtId="4" fontId="35" fillId="5" borderId="14" applyNumberFormat="0" applyProtection="0">
      <alignment horizontal="left" vertical="center" indent="1"/>
    </xf>
    <xf numFmtId="4" fontId="35" fillId="5" borderId="14" applyNumberFormat="0" applyProtection="0">
      <alignment horizontal="left" vertical="center" indent="1"/>
    </xf>
    <xf numFmtId="4" fontId="35" fillId="43" borderId="14" applyNumberFormat="0" applyProtection="0">
      <alignment horizontal="right" vertical="center"/>
    </xf>
    <xf numFmtId="4" fontId="36" fillId="43" borderId="14" applyNumberFormat="0" applyProtection="0">
      <alignment horizontal="right" vertical="center"/>
    </xf>
    <xf numFmtId="0" fontId="11" fillId="32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0" fontId="39" fillId="0" borderId="0"/>
    <xf numFmtId="4" fontId="13" fillId="43" borderId="14" applyNumberFormat="0" applyProtection="0">
      <alignment horizontal="right" vertical="center"/>
    </xf>
    <xf numFmtId="0" fontId="11" fillId="0" borderId="0"/>
    <xf numFmtId="0" fontId="40" fillId="0" borderId="0" applyNumberFormat="0" applyFill="0" applyBorder="0" applyAlignment="0" applyProtection="0"/>
    <xf numFmtId="0" fontId="41" fillId="0" borderId="17" applyNumberFormat="0" applyFill="0" applyAlignment="0" applyProtection="0"/>
    <xf numFmtId="3" fontId="42" fillId="0" borderId="2" applyNumberFormat="0"/>
    <xf numFmtId="0" fontId="43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6" fillId="0" borderId="0"/>
    <xf numFmtId="0" fontId="45" fillId="0" borderId="0"/>
    <xf numFmtId="9" fontId="6" fillId="0" borderId="0" applyFont="0" applyFill="0" applyBorder="0" applyAlignment="0" applyProtection="0"/>
    <xf numFmtId="0" fontId="46" fillId="0" borderId="0" applyNumberFormat="0" applyFont="0" applyFill="0" applyBorder="0" applyAlignment="0" applyProtection="0"/>
    <xf numFmtId="0" fontId="47" fillId="0" borderId="0"/>
    <xf numFmtId="0" fontId="48" fillId="0" borderId="0"/>
    <xf numFmtId="177" fontId="49" fillId="0" borderId="0"/>
    <xf numFmtId="177" fontId="11" fillId="0" borderId="0"/>
    <xf numFmtId="177" fontId="51" fillId="0" borderId="0"/>
    <xf numFmtId="0" fontId="52" fillId="0" borderId="0">
      <alignment horizontal="left"/>
    </xf>
    <xf numFmtId="164" fontId="50" fillId="0" borderId="18" applyFill="0" applyBorder="0" applyProtection="0">
      <alignment horizontal="right" vertical="top"/>
    </xf>
    <xf numFmtId="177" fontId="53" fillId="0" borderId="18">
      <alignment horizontal="left"/>
    </xf>
    <xf numFmtId="0" fontId="52" fillId="0" borderId="18">
      <alignment horizontal="right" wrapText="1"/>
    </xf>
    <xf numFmtId="0" fontId="50" fillId="0" borderId="0" applyFill="0" applyBorder="0">
      <alignment horizontal="left" vertical="top" wrapText="1"/>
    </xf>
    <xf numFmtId="178" fontId="50" fillId="0" borderId="0" applyFill="0" applyBorder="0">
      <alignment horizontal="right" vertical="top"/>
    </xf>
    <xf numFmtId="179" fontId="50" fillId="0" borderId="0" applyFill="0" applyBorder="0">
      <alignment horizontal="right" vertical="top"/>
    </xf>
    <xf numFmtId="49" fontId="50" fillId="0" borderId="0" applyNumberFormat="0" applyFill="0" applyBorder="0" applyProtection="0">
      <alignment horizontal="center" vertical="top"/>
    </xf>
    <xf numFmtId="177" fontId="54" fillId="0" borderId="0">
      <alignment horizontal="left" vertical="top"/>
    </xf>
    <xf numFmtId="0" fontId="55" fillId="0" borderId="0"/>
    <xf numFmtId="0" fontId="6" fillId="0" borderId="0"/>
    <xf numFmtId="0" fontId="56" fillId="0" borderId="0"/>
    <xf numFmtId="0" fontId="6" fillId="0" borderId="0"/>
    <xf numFmtId="172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7" fillId="0" borderId="0"/>
    <xf numFmtId="0" fontId="58" fillId="0" borderId="0"/>
    <xf numFmtId="0" fontId="59" fillId="0" borderId="0"/>
    <xf numFmtId="0" fontId="60" fillId="0" borderId="0"/>
    <xf numFmtId="0" fontId="60" fillId="0" borderId="0"/>
    <xf numFmtId="0" fontId="57" fillId="0" borderId="0"/>
    <xf numFmtId="0" fontId="58" fillId="0" borderId="0"/>
    <xf numFmtId="0" fontId="59" fillId="0" borderId="0"/>
    <xf numFmtId="0" fontId="62" fillId="0" borderId="0" applyNumberFormat="0" applyFill="0" applyBorder="0" applyAlignment="0" applyProtection="0"/>
  </cellStyleXfs>
  <cellXfs count="61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1" xfId="1" applyFill="1" applyAlignment="1">
      <alignment horizontal="left" wrapText="1"/>
    </xf>
    <xf numFmtId="0" fontId="5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7" fillId="2" borderId="0" xfId="0" applyNumberFormat="1" applyFont="1" applyFill="1"/>
    <xf numFmtId="166" fontId="5" fillId="2" borderId="4" xfId="0" applyNumberFormat="1" applyFont="1" applyFill="1" applyBorder="1"/>
    <xf numFmtId="166" fontId="5" fillId="2" borderId="4" xfId="0" applyNumberFormat="1" applyFont="1" applyFill="1" applyBorder="1" applyAlignment="1">
      <alignment horizontal="right" wrapText="1"/>
    </xf>
    <xf numFmtId="166" fontId="5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5" fillId="2" borderId="0" xfId="0" applyNumberFormat="1" applyFont="1" applyFill="1" applyAlignment="1">
      <alignment horizontal="right" wrapText="1"/>
    </xf>
    <xf numFmtId="166" fontId="5" fillId="2" borderId="4" xfId="0" applyNumberFormat="1" applyFont="1" applyFill="1" applyBorder="1" applyAlignment="1">
      <alignment wrapText="1"/>
    </xf>
    <xf numFmtId="166" fontId="5" fillId="2" borderId="0" xfId="0" applyNumberFormat="1" applyFont="1" applyFill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8" fillId="2" borderId="0" xfId="0" applyFont="1" applyFill="1" applyAlignment="1">
      <alignment horizontal="left"/>
    </xf>
    <xf numFmtId="168" fontId="10" fillId="2" borderId="0" xfId="0" applyNumberFormat="1" applyFont="1" applyFill="1"/>
    <xf numFmtId="168" fontId="1" fillId="2" borderId="3" xfId="0" applyNumberFormat="1" applyFont="1" applyFill="1" applyBorder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5" fillId="2" borderId="0" xfId="0" applyNumberFormat="1" applyFont="1" applyFill="1"/>
    <xf numFmtId="166" fontId="10" fillId="2" borderId="0" xfId="0" applyNumberFormat="1" applyFont="1" applyFill="1"/>
    <xf numFmtId="168" fontId="1" fillId="2" borderId="0" xfId="0" applyNumberFormat="1" applyFont="1" applyFill="1" applyAlignment="1">
      <alignment horizontal="right"/>
    </xf>
    <xf numFmtId="170" fontId="1" fillId="3" borderId="0" xfId="0" applyNumberFormat="1" applyFont="1" applyFill="1"/>
    <xf numFmtId="169" fontId="7" fillId="2" borderId="0" xfId="2" applyNumberFormat="1" applyFont="1" applyFill="1"/>
    <xf numFmtId="166" fontId="7" fillId="3" borderId="0" xfId="0" applyNumberFormat="1" applyFont="1" applyFill="1"/>
    <xf numFmtId="0" fontId="61" fillId="4" borderId="0" xfId="0" applyFont="1" applyFill="1" applyAlignment="1">
      <alignment horizontal="left"/>
    </xf>
    <xf numFmtId="0" fontId="9" fillId="4" borderId="0" xfId="0" applyFont="1" applyFill="1"/>
    <xf numFmtId="0" fontId="10" fillId="2" borderId="0" xfId="164" applyFont="1" applyFill="1"/>
    <xf numFmtId="180" fontId="1" fillId="2" borderId="0" xfId="0" applyNumberFormat="1" applyFont="1" applyFill="1"/>
    <xf numFmtId="169" fontId="7" fillId="3" borderId="0" xfId="2" applyNumberFormat="1" applyFont="1" applyFill="1"/>
    <xf numFmtId="169" fontId="7" fillId="3" borderId="0" xfId="0" applyNumberFormat="1" applyFont="1" applyFill="1"/>
    <xf numFmtId="166" fontId="9" fillId="4" borderId="0" xfId="0" applyNumberFormat="1" applyFont="1" applyFill="1"/>
    <xf numFmtId="168" fontId="9" fillId="4" borderId="0" xfId="0" applyNumberFormat="1" applyFont="1" applyFill="1"/>
    <xf numFmtId="166" fontId="5" fillId="2" borderId="19" xfId="0" applyNumberFormat="1" applyFont="1" applyFill="1" applyBorder="1"/>
    <xf numFmtId="168" fontId="5" fillId="2" borderId="19" xfId="0" applyNumberFormat="1" applyFont="1" applyFill="1" applyBorder="1"/>
    <xf numFmtId="166" fontId="10" fillId="2" borderId="19" xfId="0" applyNumberFormat="1" applyFont="1" applyFill="1" applyBorder="1"/>
    <xf numFmtId="168" fontId="1" fillId="3" borderId="19" xfId="0" applyNumberFormat="1" applyFont="1" applyFill="1" applyBorder="1"/>
    <xf numFmtId="166" fontId="5" fillId="2" borderId="20" xfId="0" applyNumberFormat="1" applyFont="1" applyFill="1" applyBorder="1"/>
    <xf numFmtId="168" fontId="5" fillId="2" borderId="20" xfId="0" applyNumberFormat="1" applyFont="1" applyFill="1" applyBorder="1"/>
    <xf numFmtId="168" fontId="1" fillId="2" borderId="20" xfId="0" applyNumberFormat="1" applyFont="1" applyFill="1" applyBorder="1"/>
    <xf numFmtId="168" fontId="5" fillId="3" borderId="20" xfId="0" applyNumberFormat="1" applyFont="1" applyFill="1" applyBorder="1"/>
    <xf numFmtId="0" fontId="63" fillId="2" borderId="0" xfId="0" applyFont="1" applyFill="1"/>
    <xf numFmtId="0" fontId="64" fillId="2" borderId="0" xfId="0" applyFont="1" applyFill="1"/>
    <xf numFmtId="0" fontId="9" fillId="4" borderId="0" xfId="0" applyNumberFormat="1" applyFont="1" applyFill="1"/>
    <xf numFmtId="166" fontId="1" fillId="47" borderId="0" xfId="0" applyNumberFormat="1" applyFont="1" applyFill="1"/>
    <xf numFmtId="169" fontId="1" fillId="3" borderId="0" xfId="2" applyNumberFormat="1" applyFont="1" applyFill="1"/>
    <xf numFmtId="166" fontId="1" fillId="3" borderId="0" xfId="2" applyNumberFormat="1" applyFont="1" applyFill="1"/>
    <xf numFmtId="166" fontId="3" fillId="2" borderId="0" xfId="0" applyNumberFormat="1" applyFont="1" applyFill="1"/>
  </cellXfs>
  <cellStyles count="165">
    <cellStyle name="_060510 Goal Setting CNV" xfId="5" xr:uid="{00000000-0005-0000-0000-000002000000}"/>
    <cellStyle name="_2008-08-18 WC SRL" xfId="6" xr:uid="{00000000-0005-0000-0000-000003000000}"/>
    <cellStyle name="_2008-10-06 Goodwill Test KPMG incl PL 19 (2)" xfId="7" xr:uid="{00000000-0005-0000-0000-000004000000}"/>
    <cellStyle name="_2008-10-06 Goodwill Test KPMG incl PL 19 (3)" xfId="8" xr:uid="{00000000-0005-0000-0000-000005000000}"/>
    <cellStyle name="_2009-03-17 Version für 53-19" xfId="9" xr:uid="{00000000-0005-0000-0000-000006000000}"/>
    <cellStyle name="_Access Bluebook 2007 DCL V7" xfId="10" xr:uid="{00000000-0005-0000-0000-000007000000}"/>
    <cellStyle name="_AL_cost_outlook_070405_Bluebook2007" xfId="11" xr:uid="{00000000-0005-0000-0000-000008000000}"/>
    <cellStyle name="_BB_08_BG_COM" xfId="12" xr:uid="{00000000-0005-0000-0000-000009000000}"/>
    <cellStyle name="_Bluebook-2005-PL-Projections-COM-SR2" xfId="13" xr:uid="{00000000-0005-0000-0000-00000A000000}"/>
    <cellStyle name="_COM Cash Flow Bluebook 2008" xfId="14" xr:uid="{00000000-0005-0000-0000-00000B000000}"/>
    <cellStyle name="_Cordless_Bizcase_070524" xfId="15" xr:uid="{00000000-0005-0000-0000-00000C000000}"/>
    <cellStyle name="_Cordless_Bizcase_Bluebook (2)" xfId="16" xr:uid="{00000000-0005-0000-0000-00000D000000}"/>
    <cellStyle name="_Cordless_Bizcase_Master" xfId="17" xr:uid="{00000000-0005-0000-0000-00000E000000}"/>
    <cellStyle name="_Data" xfId="18" xr:uid="{00000000-0005-0000-0000-00000F000000}"/>
    <cellStyle name="_Foundry Wafer Price Database - BU" xfId="19" xr:uid="{00000000-0005-0000-0000-000010000000}"/>
    <cellStyle name="_Segment_DCL_FRFC_2007_03" xfId="20" xr:uid="{00000000-0005-0000-0000-000011000000}"/>
    <cellStyle name="_SR_CSP_Segments" xfId="21" xr:uid="{00000000-0005-0000-0000-000012000000}"/>
    <cellStyle name="_Wireless_MPP_FRFC0810_V3" xfId="22" xr:uid="{00000000-0005-0000-0000-000013000000}"/>
    <cellStyle name="_WLS_MPP_BB2008_vs_VRFC0904_bw (2)" xfId="23" xr:uid="{00000000-0005-0000-0000-000014000000}"/>
    <cellStyle name="_x0002_._x0011__x0002_._x001b__x0002_ _x0015_%_x0018__x0001_" xfId="4" xr:uid="{00000000-0005-0000-0000-000001000000}"/>
    <cellStyle name="%" xfId="134" xr:uid="{00000000-0005-0000-0000-000000000000}"/>
    <cellStyle name="0,0_x000d__x000a_NA_x000d__x000a_" xfId="24" xr:uid="{00000000-0005-0000-0000-000015000000}"/>
    <cellStyle name="20% - Accent1 2" xfId="25" xr:uid="{00000000-0005-0000-0000-000016000000}"/>
    <cellStyle name="20% - Accent2 2" xfId="26" xr:uid="{00000000-0005-0000-0000-000017000000}"/>
    <cellStyle name="20% - Accent3 2" xfId="27" xr:uid="{00000000-0005-0000-0000-000018000000}"/>
    <cellStyle name="20% - Accent4 2" xfId="28" xr:uid="{00000000-0005-0000-0000-000019000000}"/>
    <cellStyle name="20% - Accent5 2" xfId="29" xr:uid="{00000000-0005-0000-0000-00001A000000}"/>
    <cellStyle name="20% - Accent6 2" xfId="30" xr:uid="{00000000-0005-0000-0000-00001B000000}"/>
    <cellStyle name="40% - Accent1 2" xfId="31" xr:uid="{00000000-0005-0000-0000-00001C000000}"/>
    <cellStyle name="40% - Accent2 2" xfId="32" xr:uid="{00000000-0005-0000-0000-00001D000000}"/>
    <cellStyle name="40% - Accent3 2" xfId="33" xr:uid="{00000000-0005-0000-0000-00001E000000}"/>
    <cellStyle name="40% - Accent4 2" xfId="34" xr:uid="{00000000-0005-0000-0000-00001F000000}"/>
    <cellStyle name="40% - Accent5 2" xfId="35" xr:uid="{00000000-0005-0000-0000-000020000000}"/>
    <cellStyle name="40% - Accent6 2" xfId="36" xr:uid="{00000000-0005-0000-0000-000021000000}"/>
    <cellStyle name="60% - Accent1 2" xfId="37" xr:uid="{00000000-0005-0000-0000-000022000000}"/>
    <cellStyle name="60% - Accent2 2" xfId="38" xr:uid="{00000000-0005-0000-0000-000023000000}"/>
    <cellStyle name="60% - Accent3 2" xfId="39" xr:uid="{00000000-0005-0000-0000-000024000000}"/>
    <cellStyle name="60% - Accent4 2" xfId="40" xr:uid="{00000000-0005-0000-0000-000025000000}"/>
    <cellStyle name="60% - Accent5 2" xfId="41" xr:uid="{00000000-0005-0000-0000-000026000000}"/>
    <cellStyle name="60% - Accent6 2" xfId="42" xr:uid="{00000000-0005-0000-0000-000027000000}"/>
    <cellStyle name="Accent1 2" xfId="43" xr:uid="{00000000-0005-0000-0000-000028000000}"/>
    <cellStyle name="Accent2 2" xfId="44" xr:uid="{00000000-0005-0000-0000-000029000000}"/>
    <cellStyle name="Accent3 2" xfId="45" xr:uid="{00000000-0005-0000-0000-00002A000000}"/>
    <cellStyle name="Accent4 2" xfId="46" xr:uid="{00000000-0005-0000-0000-00002B000000}"/>
    <cellStyle name="Accent5 2" xfId="47" xr:uid="{00000000-0005-0000-0000-00002C000000}"/>
    <cellStyle name="Accent6 2" xfId="48" xr:uid="{00000000-0005-0000-0000-00002D000000}"/>
    <cellStyle name="AFE" xfId="49" xr:uid="{00000000-0005-0000-0000-00002E000000}"/>
    <cellStyle name="AFE 2" xfId="132" xr:uid="{00000000-0005-0000-0000-00002F000000}"/>
    <cellStyle name="Bad 2" xfId="50" xr:uid="{00000000-0005-0000-0000-000030000000}"/>
    <cellStyle name="Calculation 2" xfId="51" xr:uid="{00000000-0005-0000-0000-000031000000}"/>
    <cellStyle name="Check Cell 2" xfId="52" xr:uid="{00000000-0005-0000-0000-000032000000}"/>
    <cellStyle name="Comma 2" xfId="153" xr:uid="{00000000-0005-0000-0000-000034000000}"/>
    <cellStyle name="Detail" xfId="53" xr:uid="{00000000-0005-0000-0000-000035000000}"/>
    <cellStyle name="Euro" xfId="54" xr:uid="{00000000-0005-0000-0000-000036000000}"/>
    <cellStyle name="Explanatory Text 2" xfId="55" xr:uid="{00000000-0005-0000-0000-000037000000}"/>
    <cellStyle name="EY Narrative text" xfId="147" xr:uid="{00000000-0005-0000-0000-000038000000}"/>
    <cellStyle name="EY0dp" xfId="145" xr:uid="{00000000-0005-0000-0000-000039000000}"/>
    <cellStyle name="EY1dp" xfId="146" xr:uid="{00000000-0005-0000-0000-00003A000000}"/>
    <cellStyle name="EYChartTitle" xfId="140" xr:uid="{00000000-0005-0000-0000-00003B000000}"/>
    <cellStyle name="EYColumnHeading" xfId="143" xr:uid="{00000000-0005-0000-0000-00003C000000}"/>
    <cellStyle name="EYCurrency" xfId="142" xr:uid="{00000000-0005-0000-0000-00003D000000}"/>
    <cellStyle name="EYnumber" xfId="141" xr:uid="{00000000-0005-0000-0000-00003E000000}"/>
    <cellStyle name="EYSectionHeading" xfId="137" xr:uid="{00000000-0005-0000-0000-00003F000000}"/>
    <cellStyle name="EYSheetHeading" xfId="139" xr:uid="{00000000-0005-0000-0000-000040000000}"/>
    <cellStyle name="EYsmallheading" xfId="138" xr:uid="{00000000-0005-0000-0000-000041000000}"/>
    <cellStyle name="EYSource" xfId="148" xr:uid="{00000000-0005-0000-0000-000042000000}"/>
    <cellStyle name="EYtext" xfId="144" xr:uid="{00000000-0005-0000-0000-000043000000}"/>
    <cellStyle name="Good 2" xfId="56" xr:uid="{00000000-0005-0000-0000-000044000000}"/>
    <cellStyle name="Grey" xfId="57" xr:uid="{00000000-0005-0000-0000-000045000000}"/>
    <cellStyle name="Heading 1 2" xfId="58" xr:uid="{00000000-0005-0000-0000-000046000000}"/>
    <cellStyle name="Heading 2 2" xfId="59" xr:uid="{00000000-0005-0000-0000-000047000000}"/>
    <cellStyle name="Heading 3 2" xfId="60" xr:uid="{00000000-0005-0000-0000-000048000000}"/>
    <cellStyle name="Heading 4 2" xfId="61" xr:uid="{00000000-0005-0000-0000-000049000000}"/>
    <cellStyle name="Hyperlink" xfId="164" builtinId="8"/>
    <cellStyle name="Input [yellow]" xfId="63" xr:uid="{00000000-0005-0000-0000-00004B000000}"/>
    <cellStyle name="Input 2" xfId="62" xr:uid="{00000000-0005-0000-0000-00004C000000}"/>
    <cellStyle name="Linked Cell 2" xfId="64" xr:uid="{00000000-0005-0000-0000-00004D000000}"/>
    <cellStyle name="meny_33-34" xfId="65" xr:uid="{00000000-0005-0000-0000-00004E000000}"/>
    <cellStyle name="Milliers [0]_foxz" xfId="66" xr:uid="{00000000-0005-0000-0000-00004F000000}"/>
    <cellStyle name="Milliers_foxz" xfId="67" xr:uid="{00000000-0005-0000-0000-000050000000}"/>
    <cellStyle name="Monétaire [0]_foxz" xfId="68" xr:uid="{00000000-0005-0000-0000-000051000000}"/>
    <cellStyle name="Monétaire_foxz" xfId="69" xr:uid="{00000000-0005-0000-0000-000052000000}"/>
    <cellStyle name="Neutral 2" xfId="70" xr:uid="{00000000-0005-0000-0000-000053000000}"/>
    <cellStyle name="Normal" xfId="0" builtinId="0"/>
    <cellStyle name="Normal - Style1" xfId="71" xr:uid="{00000000-0005-0000-0000-000055000000}"/>
    <cellStyle name="Normal 2" xfId="149" xr:uid="{00000000-0005-0000-0000-000056000000}"/>
    <cellStyle name="Normal 2 2" xfId="151" xr:uid="{00000000-0005-0000-0000-000057000000}"/>
    <cellStyle name="Normal 3" xfId="150" xr:uid="{00000000-0005-0000-0000-000058000000}"/>
    <cellStyle name="Normal 4" xfId="152" xr:uid="{00000000-0005-0000-0000-000059000000}"/>
    <cellStyle name="Normal 5" xfId="3" xr:uid="{00000000-0005-0000-0000-00005A000000}"/>
    <cellStyle name="normální_33-34" xfId="72" xr:uid="{00000000-0005-0000-0000-00005C000000}"/>
    <cellStyle name="Note 2" xfId="73" xr:uid="{00000000-0005-0000-0000-00005D000000}"/>
    <cellStyle name="Œ…‹æØ‚è [0.00]_laroux" xfId="74" xr:uid="{00000000-0005-0000-0000-00005E000000}"/>
    <cellStyle name="Œ…‹æØ‚è_laroux" xfId="75" xr:uid="{00000000-0005-0000-0000-00005F000000}"/>
    <cellStyle name="Output 2" xfId="76" xr:uid="{00000000-0005-0000-0000-000060000000}"/>
    <cellStyle name="Per cent" xfId="2" builtinId="5"/>
    <cellStyle name="Percent [2]" xfId="78" xr:uid="{00000000-0005-0000-0000-000062000000}"/>
    <cellStyle name="Percent 2" xfId="154" xr:uid="{00000000-0005-0000-0000-000063000000}"/>
    <cellStyle name="Percent 3" xfId="77" xr:uid="{00000000-0005-0000-0000-000064000000}"/>
    <cellStyle name="Percent 5" xfId="79" xr:uid="{00000000-0005-0000-0000-000065000000}"/>
    <cellStyle name="Prozent 2" xfId="133" xr:uid="{00000000-0005-0000-0000-000066000000}"/>
    <cellStyle name="PSChar" xfId="80" xr:uid="{00000000-0005-0000-0000-000067000000}"/>
    <cellStyle name="PSDate" xfId="81" xr:uid="{00000000-0005-0000-0000-000068000000}"/>
    <cellStyle name="PSDec" xfId="82" xr:uid="{00000000-0005-0000-0000-000069000000}"/>
    <cellStyle name="PSHeading" xfId="83" xr:uid="{00000000-0005-0000-0000-00006A000000}"/>
    <cellStyle name="PSInt" xfId="84" xr:uid="{00000000-0005-0000-0000-00006B000000}"/>
    <cellStyle name="PSSpacer" xfId="85" xr:uid="{00000000-0005-0000-0000-00006C000000}"/>
    <cellStyle name="Revenue" xfId="86" xr:uid="{00000000-0005-0000-0000-00006D000000}"/>
    <cellStyle name="SAPBEXaggData" xfId="87" xr:uid="{00000000-0005-0000-0000-00006E000000}"/>
    <cellStyle name="SAPBEXaggDataEmph" xfId="88" xr:uid="{00000000-0005-0000-0000-00006F000000}"/>
    <cellStyle name="SAPBEXaggItem" xfId="89" xr:uid="{00000000-0005-0000-0000-000070000000}"/>
    <cellStyle name="SAPBEXaggItemX" xfId="90" xr:uid="{00000000-0005-0000-0000-000071000000}"/>
    <cellStyle name="SAPBEXchaText" xfId="91" xr:uid="{00000000-0005-0000-0000-000072000000}"/>
    <cellStyle name="SAPBEXexcBad7" xfId="92" xr:uid="{00000000-0005-0000-0000-000073000000}"/>
    <cellStyle name="SAPBEXexcBad8" xfId="93" xr:uid="{00000000-0005-0000-0000-000074000000}"/>
    <cellStyle name="SAPBEXexcBad9" xfId="94" xr:uid="{00000000-0005-0000-0000-000075000000}"/>
    <cellStyle name="SAPBEXexcCritical4" xfId="95" xr:uid="{00000000-0005-0000-0000-000076000000}"/>
    <cellStyle name="SAPBEXexcCritical5" xfId="96" xr:uid="{00000000-0005-0000-0000-000077000000}"/>
    <cellStyle name="SAPBEXexcCritical6" xfId="97" xr:uid="{00000000-0005-0000-0000-000078000000}"/>
    <cellStyle name="SAPBEXexcGood1" xfId="98" xr:uid="{00000000-0005-0000-0000-000079000000}"/>
    <cellStyle name="SAPBEXexcGood2" xfId="99" xr:uid="{00000000-0005-0000-0000-00007A000000}"/>
    <cellStyle name="SAPBEXexcGood3" xfId="100" xr:uid="{00000000-0005-0000-0000-00007B000000}"/>
    <cellStyle name="SAPBEXfilterDrill" xfId="101" xr:uid="{00000000-0005-0000-0000-00007C000000}"/>
    <cellStyle name="SAPBEXfilterItem" xfId="102" xr:uid="{00000000-0005-0000-0000-00007D000000}"/>
    <cellStyle name="SAPBEXfilterText" xfId="103" xr:uid="{00000000-0005-0000-0000-00007E000000}"/>
    <cellStyle name="SAPBEXformats" xfId="104" xr:uid="{00000000-0005-0000-0000-00007F000000}"/>
    <cellStyle name="SAPBEXheaderItem" xfId="105" xr:uid="{00000000-0005-0000-0000-000080000000}"/>
    <cellStyle name="SAPBEXheaderText" xfId="106" xr:uid="{00000000-0005-0000-0000-000081000000}"/>
    <cellStyle name="SAPBEXHLevel0" xfId="107" xr:uid="{00000000-0005-0000-0000-000082000000}"/>
    <cellStyle name="SAPBEXHLevel0X" xfId="108" xr:uid="{00000000-0005-0000-0000-000083000000}"/>
    <cellStyle name="SAPBEXHLevel1" xfId="109" xr:uid="{00000000-0005-0000-0000-000084000000}"/>
    <cellStyle name="SAPBEXHLevel1X" xfId="110" xr:uid="{00000000-0005-0000-0000-000085000000}"/>
    <cellStyle name="SAPBEXHLevel2" xfId="111" xr:uid="{00000000-0005-0000-0000-000086000000}"/>
    <cellStyle name="SAPBEXHLevel2X" xfId="112" xr:uid="{00000000-0005-0000-0000-000087000000}"/>
    <cellStyle name="SAPBEXHLevel3" xfId="113" xr:uid="{00000000-0005-0000-0000-000088000000}"/>
    <cellStyle name="SAPBEXHLevel3X" xfId="114" xr:uid="{00000000-0005-0000-0000-000089000000}"/>
    <cellStyle name="SAPBEXresData" xfId="115" xr:uid="{00000000-0005-0000-0000-00008A000000}"/>
    <cellStyle name="SAPBEXresDataEmph" xfId="116" xr:uid="{00000000-0005-0000-0000-00008B000000}"/>
    <cellStyle name="SAPBEXresItem" xfId="117" xr:uid="{00000000-0005-0000-0000-00008C000000}"/>
    <cellStyle name="SAPBEXresItemX" xfId="118" xr:uid="{00000000-0005-0000-0000-00008D000000}"/>
    <cellStyle name="SAPBEXstdData" xfId="119" xr:uid="{00000000-0005-0000-0000-00008E000000}"/>
    <cellStyle name="SAPBEXstdDataEmph" xfId="120" xr:uid="{00000000-0005-0000-0000-00008F000000}"/>
    <cellStyle name="SAPBEXstdItem" xfId="121" xr:uid="{00000000-0005-0000-0000-000090000000}"/>
    <cellStyle name="SAPBEXstdItemX" xfId="122" xr:uid="{00000000-0005-0000-0000-000091000000}"/>
    <cellStyle name="SAPBEXtitle" xfId="123" xr:uid="{00000000-0005-0000-0000-000092000000}"/>
    <cellStyle name="SAPBEXundefined" xfId="124" xr:uid="{00000000-0005-0000-0000-000093000000}"/>
    <cellStyle name="Smart Subtitle 1" xfId="1" xr:uid="{00000000-0005-0000-0000-000094000000}"/>
    <cellStyle name="Standard 2" xfId="131" xr:uid="{00000000-0005-0000-0000-000095000000}"/>
    <cellStyle name="Standard 3" xfId="135" xr:uid="{00000000-0005-0000-0000-000096000000}"/>
    <cellStyle name="Standard 4" xfId="155" xr:uid="{00000000-0005-0000-0000-000097000000}"/>
    <cellStyle name="Stil 1" xfId="130" xr:uid="{00000000-0005-0000-0000-000098000000}"/>
    <cellStyle name="Style 1" xfId="125" xr:uid="{00000000-0005-0000-0000-000099000000}"/>
    <cellStyle name="Tahoma:10:1" xfId="159" xr:uid="{00000000-0005-0000-0000-00009A000000}"/>
    <cellStyle name="Tahoma:10:129" xfId="160" xr:uid="{00000000-0005-0000-0000-00009B000000}"/>
    <cellStyle name="Tahoma:12:1" xfId="156" xr:uid="{00000000-0005-0000-0000-00009C000000}"/>
    <cellStyle name="Tahoma:12:129" xfId="161" xr:uid="{00000000-0005-0000-0000-00009D000000}"/>
    <cellStyle name="Tahoma:8:0" xfId="157" xr:uid="{00000000-0005-0000-0000-00009E000000}"/>
    <cellStyle name="Tahoma:8:1" xfId="158" xr:uid="{00000000-0005-0000-0000-00009F000000}"/>
    <cellStyle name="Tahoma:8:128" xfId="162" xr:uid="{00000000-0005-0000-0000-0000A0000000}"/>
    <cellStyle name="Tahoma:8:129" xfId="163" xr:uid="{00000000-0005-0000-0000-0000A1000000}"/>
    <cellStyle name="Title 2" xfId="126" xr:uid="{00000000-0005-0000-0000-0000A2000000}"/>
    <cellStyle name="Total 2" xfId="127" xr:uid="{00000000-0005-0000-0000-0000A3000000}"/>
    <cellStyle name="Total Row" xfId="128" xr:uid="{00000000-0005-0000-0000-0000A4000000}"/>
    <cellStyle name="TTS" xfId="136" xr:uid="{00000000-0005-0000-0000-0000A5000000}"/>
    <cellStyle name="Warning Text 2" xfId="129" xr:uid="{00000000-0005-0000-0000-0000A6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C18" sqref="C18"/>
    </sheetView>
  </sheetViews>
  <sheetFormatPr baseColWidth="10" defaultColWidth="9.1640625" defaultRowHeight="12"/>
  <cols>
    <col min="1" max="1" width="2" style="1" customWidth="1"/>
    <col min="2" max="2" width="10" style="1" customWidth="1"/>
    <col min="3" max="3" width="26" style="1" customWidth="1"/>
    <col min="4" max="16384" width="9.1640625" style="1"/>
  </cols>
  <sheetData>
    <row r="1" spans="2:3" ht="16">
      <c r="B1" s="2" t="s">
        <v>4</v>
      </c>
    </row>
    <row r="2" spans="2:3">
      <c r="B2" s="4" t="s">
        <v>5</v>
      </c>
    </row>
    <row r="4" spans="2:3" ht="14" thickBot="1">
      <c r="B4" s="3" t="s">
        <v>2</v>
      </c>
      <c r="C4" s="3" t="s">
        <v>3</v>
      </c>
    </row>
    <row r="5" spans="2:3">
      <c r="B5" s="38">
        <v>1</v>
      </c>
      <c r="C5" s="39" t="s">
        <v>56</v>
      </c>
    </row>
    <row r="6" spans="2:3">
      <c r="B6" s="27">
        <f>B5+1</f>
        <v>2</v>
      </c>
      <c r="C6" s="40" t="s">
        <v>23</v>
      </c>
    </row>
    <row r="7" spans="2:3">
      <c r="B7" s="27">
        <f t="shared" ref="B7:B21" si="0">B6+1</f>
        <v>3</v>
      </c>
      <c r="C7" s="40" t="s">
        <v>24</v>
      </c>
    </row>
    <row r="8" spans="2:3">
      <c r="B8" s="38">
        <f t="shared" si="0"/>
        <v>4</v>
      </c>
      <c r="C8" s="39" t="s">
        <v>57</v>
      </c>
    </row>
    <row r="9" spans="2:3">
      <c r="B9" s="27">
        <f t="shared" si="0"/>
        <v>5</v>
      </c>
      <c r="C9" s="40" t="s">
        <v>6</v>
      </c>
    </row>
    <row r="10" spans="2:3">
      <c r="B10" s="27">
        <f t="shared" si="0"/>
        <v>6</v>
      </c>
      <c r="C10" s="40" t="s">
        <v>22</v>
      </c>
    </row>
    <row r="11" spans="2:3">
      <c r="B11" s="27">
        <f t="shared" si="0"/>
        <v>7</v>
      </c>
      <c r="C11" s="40" t="s">
        <v>25</v>
      </c>
    </row>
    <row r="12" spans="2:3">
      <c r="B12" s="27">
        <f t="shared" si="0"/>
        <v>8</v>
      </c>
      <c r="C12" s="40" t="s">
        <v>51</v>
      </c>
    </row>
    <row r="13" spans="2:3">
      <c r="B13" s="38">
        <f t="shared" si="0"/>
        <v>9</v>
      </c>
      <c r="C13" s="39" t="s">
        <v>63</v>
      </c>
    </row>
    <row r="14" spans="2:3">
      <c r="B14" s="27">
        <f t="shared" si="0"/>
        <v>10</v>
      </c>
      <c r="C14" s="40" t="s">
        <v>58</v>
      </c>
    </row>
    <row r="15" spans="2:3">
      <c r="B15" s="27">
        <f t="shared" si="0"/>
        <v>11</v>
      </c>
      <c r="C15" s="40" t="s">
        <v>55</v>
      </c>
    </row>
    <row r="16" spans="2:3">
      <c r="B16" s="27">
        <f t="shared" si="0"/>
        <v>12</v>
      </c>
      <c r="C16" s="40" t="s">
        <v>59</v>
      </c>
    </row>
    <row r="17" spans="2:3">
      <c r="B17" s="27">
        <f t="shared" si="0"/>
        <v>13</v>
      </c>
      <c r="C17" s="40" t="s">
        <v>60</v>
      </c>
    </row>
    <row r="18" spans="2:3">
      <c r="B18" s="27">
        <f t="shared" si="0"/>
        <v>14</v>
      </c>
      <c r="C18" s="40" t="s">
        <v>61</v>
      </c>
    </row>
    <row r="19" spans="2:3">
      <c r="B19" s="38">
        <f t="shared" si="0"/>
        <v>15</v>
      </c>
      <c r="C19" s="39" t="s">
        <v>62</v>
      </c>
    </row>
    <row r="20" spans="2:3">
      <c r="B20" s="27">
        <f t="shared" si="0"/>
        <v>16</v>
      </c>
      <c r="C20" s="40" t="s">
        <v>1</v>
      </c>
    </row>
    <row r="21" spans="2:3">
      <c r="B21" s="27">
        <f t="shared" si="0"/>
        <v>17</v>
      </c>
      <c r="C21" s="40" t="s">
        <v>0</v>
      </c>
    </row>
  </sheetData>
  <hyperlinks>
    <hyperlink ref="C6" location="'P&amp;L assumptions'!A1" display="P&amp;L assumptions" xr:uid="{00000000-0004-0000-0000-000000000000}"/>
    <hyperlink ref="C7" location="'BS assumptions'!A1" display="BS assumptions" xr:uid="{00000000-0004-0000-0000-000001000000}"/>
    <hyperlink ref="C9" location="'P&amp;L'!A1" display="P&amp;L" xr:uid="{00000000-0004-0000-0000-000002000000}"/>
    <hyperlink ref="C10" location="BS!A1" display="BS" xr:uid="{00000000-0004-0000-0000-000003000000}"/>
    <hyperlink ref="C11" location="'Cash Flow'!A1" display="Cash Flow" xr:uid="{00000000-0004-0000-0000-000004000000}"/>
    <hyperlink ref="C12" location="'DCF valuation'!A1" display="DCF valuation" xr:uid="{00000000-0004-0000-0000-000005000000}"/>
    <hyperlink ref="C14" location="'Revenues&amp;Ebitda'!A1" display="Revenue&amp;Ebitda" xr:uid="{00000000-0004-0000-0000-000006000000}"/>
    <hyperlink ref="C15" location="'Cash flows'!A1" display="Cash flows" xr:uid="{00000000-0004-0000-0000-000007000000}"/>
    <hyperlink ref="C16" location="'Ebitda bridge'!A1" display="Ebitda bridge" xr:uid="{00000000-0004-0000-0000-000008000000}"/>
    <hyperlink ref="C17" location="'Working capital'!A1" display="Working capital" xr:uid="{00000000-0004-0000-0000-000009000000}"/>
    <hyperlink ref="C18" location="'DCF results'!A1" display="DCF results" xr:uid="{00000000-0004-0000-0000-00000A000000}"/>
    <hyperlink ref="C20" location="'P&amp;L source'!A1" display="P&amp;L source" xr:uid="{00000000-0004-0000-0000-00000B000000}"/>
    <hyperlink ref="C21" location="'BS source'!A1" display="BS source" xr:uid="{00000000-0004-0000-0000-00000C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2060"/>
  </sheetPr>
  <dimension ref="B1:B11"/>
  <sheetViews>
    <sheetView workbookViewId="0">
      <selection activeCell="B11" sqref="B11"/>
    </sheetView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9">
      <c r="B11" s="54" t="s">
        <v>56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N55"/>
  <sheetViews>
    <sheetView zoomScale="110" zoomScaleNormal="110" workbookViewId="0">
      <pane ySplit="8" topLeftCell="A27" activePane="bottomLeft" state="frozen"/>
      <selection pane="bottomLeft" activeCell="I33" sqref="I33"/>
    </sheetView>
  </sheetViews>
  <sheetFormatPr baseColWidth="10" defaultColWidth="9.1640625" defaultRowHeight="12"/>
  <cols>
    <col min="1" max="1" width="2" style="6" customWidth="1"/>
    <col min="2" max="2" width="21.83203125" style="6" bestFit="1" customWidth="1"/>
    <col min="3" max="3" width="10.5" style="6" bestFit="1" customWidth="1"/>
    <col min="4" max="5" width="9.6640625" style="6" bestFit="1" customWidth="1"/>
    <col min="6" max="6" width="2" style="6" customWidth="1"/>
    <col min="7" max="7" width="11" style="6" bestFit="1" customWidth="1"/>
    <col min="8" max="8" width="12.5" style="6" bestFit="1" customWidth="1"/>
    <col min="9" max="11" width="10.5" style="6" bestFit="1" customWidth="1"/>
    <col min="12" max="12" width="9.1640625" style="6"/>
    <col min="13" max="13" width="22.1640625" style="6" bestFit="1" customWidth="1"/>
    <col min="14" max="16384" width="9.1640625" style="6"/>
  </cols>
  <sheetData>
    <row r="1" spans="2:14" ht="16">
      <c r="B1" s="5" t="s">
        <v>23</v>
      </c>
    </row>
    <row r="2" spans="2:14" ht="16">
      <c r="B2" s="5"/>
      <c r="G2" s="6" t="s">
        <v>94</v>
      </c>
    </row>
    <row r="3" spans="2:14" ht="16">
      <c r="B3" s="5"/>
      <c r="G3" s="6" t="s">
        <v>95</v>
      </c>
      <c r="H3" s="6" t="s">
        <v>98</v>
      </c>
    </row>
    <row r="4" spans="2:14" ht="16">
      <c r="B4" s="5"/>
      <c r="G4" s="6" t="s">
        <v>96</v>
      </c>
      <c r="H4" s="6" t="s">
        <v>99</v>
      </c>
    </row>
    <row r="5" spans="2:14" ht="16">
      <c r="B5" s="5" t="s">
        <v>93</v>
      </c>
      <c r="C5" s="56">
        <v>1</v>
      </c>
      <c r="G5" s="6" t="s">
        <v>97</v>
      </c>
      <c r="H5" s="6" t="s">
        <v>100</v>
      </c>
    </row>
    <row r="7" spans="2:14" ht="3" customHeight="1"/>
    <row r="8" spans="2:14" ht="27" thickBot="1">
      <c r="B8" s="16" t="s">
        <v>47</v>
      </c>
      <c r="C8" s="17" t="s">
        <v>79</v>
      </c>
      <c r="D8" s="17" t="s">
        <v>80</v>
      </c>
      <c r="E8" s="17" t="s">
        <v>81</v>
      </c>
      <c r="F8" s="20"/>
      <c r="G8" s="18" t="s">
        <v>82</v>
      </c>
      <c r="H8" s="18" t="s">
        <v>83</v>
      </c>
      <c r="I8" s="18" t="s">
        <v>84</v>
      </c>
      <c r="J8" s="18" t="s">
        <v>85</v>
      </c>
      <c r="K8" s="18" t="s">
        <v>86</v>
      </c>
    </row>
    <row r="9" spans="2:14">
      <c r="B9" s="6" t="s">
        <v>67</v>
      </c>
      <c r="C9" s="12">
        <f>'P&amp;L source'!D4</f>
        <v>177203</v>
      </c>
      <c r="D9" s="12">
        <f>'P&amp;L source'!E4</f>
        <v>188618</v>
      </c>
      <c r="E9" s="12">
        <f>'P&amp;L source'!F4</f>
        <v>208366</v>
      </c>
      <c r="G9" s="26">
        <f>E9*(1+G10)</f>
        <v>229202.6</v>
      </c>
      <c r="H9" s="26">
        <f>G9*(1+H10)</f>
        <v>252122.86000000002</v>
      </c>
      <c r="I9" s="26">
        <f t="shared" ref="I9:K9" si="0">H9*(1+I10)</f>
        <v>277335.14600000007</v>
      </c>
      <c r="J9" s="26">
        <f t="shared" si="0"/>
        <v>305068.66060000012</v>
      </c>
      <c r="K9" s="26">
        <f t="shared" si="0"/>
        <v>335575.52666000015</v>
      </c>
      <c r="N9" s="20"/>
    </row>
    <row r="10" spans="2:14">
      <c r="B10" s="6" t="s">
        <v>101</v>
      </c>
      <c r="C10" s="34"/>
      <c r="D10" s="24">
        <f>D9/C9 - 1</f>
        <v>6.4417645299458703E-2</v>
      </c>
      <c r="E10" s="24">
        <f>E9/D9 - 1</f>
        <v>0.10469838509580209</v>
      </c>
      <c r="G10" s="25">
        <f>CHOOSE($C$5,G11,G12,G13)</f>
        <v>0.1</v>
      </c>
      <c r="H10" s="25">
        <f t="shared" ref="H10:K10" si="1">CHOOSE($C$5,H11,H12,H13)</f>
        <v>0.1</v>
      </c>
      <c r="I10" s="25">
        <f t="shared" si="1"/>
        <v>0.1</v>
      </c>
      <c r="J10" s="25">
        <f t="shared" si="1"/>
        <v>0.1</v>
      </c>
      <c r="K10" s="25">
        <f t="shared" si="1"/>
        <v>0.1</v>
      </c>
    </row>
    <row r="11" spans="2:14">
      <c r="B11" s="6" t="s">
        <v>95</v>
      </c>
      <c r="C11" s="57"/>
      <c r="D11" s="57"/>
      <c r="E11" s="57"/>
      <c r="G11" s="25">
        <v>0.1</v>
      </c>
      <c r="H11" s="25">
        <v>0.1</v>
      </c>
      <c r="I11" s="25">
        <v>0.1</v>
      </c>
      <c r="J11" s="25">
        <v>0.1</v>
      </c>
      <c r="K11" s="25">
        <v>0.1</v>
      </c>
    </row>
    <row r="12" spans="2:14">
      <c r="B12" s="6" t="s">
        <v>96</v>
      </c>
      <c r="C12" s="57"/>
      <c r="D12" s="57"/>
      <c r="E12" s="57"/>
      <c r="G12" s="25">
        <v>0.08</v>
      </c>
      <c r="H12" s="25">
        <v>0.08</v>
      </c>
      <c r="I12" s="25">
        <v>0.08</v>
      </c>
      <c r="J12" s="25">
        <v>0.08</v>
      </c>
      <c r="K12" s="25">
        <v>0.08</v>
      </c>
    </row>
    <row r="13" spans="2:14">
      <c r="B13" s="6" t="s">
        <v>97</v>
      </c>
      <c r="C13" s="57"/>
      <c r="D13" s="57"/>
      <c r="E13" s="57"/>
      <c r="G13" s="25">
        <v>0.04</v>
      </c>
      <c r="H13" s="25">
        <v>0.04</v>
      </c>
      <c r="I13" s="25">
        <v>0.04</v>
      </c>
      <c r="J13" s="25">
        <v>0.04</v>
      </c>
      <c r="K13" s="25">
        <v>0.04</v>
      </c>
    </row>
    <row r="14" spans="2:14" ht="3.75" customHeight="1">
      <c r="C14" s="57"/>
      <c r="D14" s="57"/>
      <c r="E14" s="57"/>
      <c r="G14" s="26"/>
      <c r="H14" s="26"/>
      <c r="I14" s="26"/>
      <c r="J14" s="26"/>
      <c r="K14" s="26"/>
    </row>
    <row r="15" spans="2:14">
      <c r="B15" s="6" t="s">
        <v>68</v>
      </c>
      <c r="C15" s="6">
        <f>'P&amp;L source'!D5</f>
        <v>3520</v>
      </c>
      <c r="D15" s="6">
        <f>'P&amp;L source'!E5</f>
        <v>2416</v>
      </c>
      <c r="E15" s="6">
        <f>'P&amp;L source'!F5</f>
        <v>2585</v>
      </c>
      <c r="G15" s="26">
        <f>E15*(1+G16)</f>
        <v>2585</v>
      </c>
      <c r="H15" s="26">
        <f>G15*(1+H16)</f>
        <v>2585</v>
      </c>
      <c r="I15" s="26">
        <f t="shared" ref="I15" si="2">H15*(1+I16)</f>
        <v>2585</v>
      </c>
      <c r="J15" s="26">
        <f t="shared" ref="J15" si="3">I15*(1+J16)</f>
        <v>2585</v>
      </c>
      <c r="K15" s="26">
        <f t="shared" ref="K15" si="4">J15*(1+K16)</f>
        <v>2585</v>
      </c>
    </row>
    <row r="16" spans="2:14">
      <c r="B16" s="6" t="s">
        <v>102</v>
      </c>
      <c r="G16" s="25">
        <f>CHOOSE($C$5,G17,G18,G19)</f>
        <v>0</v>
      </c>
      <c r="H16" s="25">
        <f t="shared" ref="H16" si="5">CHOOSE($C$5,H17,H18,H19)</f>
        <v>0</v>
      </c>
      <c r="I16" s="25">
        <f t="shared" ref="I16" si="6">CHOOSE($C$5,I17,I18,I19)</f>
        <v>0</v>
      </c>
      <c r="J16" s="25">
        <f t="shared" ref="J16" si="7">CHOOSE($C$5,J17,J18,J19)</f>
        <v>0</v>
      </c>
      <c r="K16" s="25">
        <f t="shared" ref="K16" si="8">CHOOSE($C$5,K17,K18,K19)</f>
        <v>0</v>
      </c>
    </row>
    <row r="17" spans="2:11">
      <c r="B17" s="6" t="s">
        <v>95</v>
      </c>
      <c r="C17" s="57"/>
      <c r="D17" s="57"/>
      <c r="E17" s="57"/>
      <c r="G17" s="25">
        <v>0</v>
      </c>
      <c r="H17" s="25">
        <v>0</v>
      </c>
      <c r="I17" s="25">
        <v>0</v>
      </c>
      <c r="J17" s="25">
        <v>0</v>
      </c>
      <c r="K17" s="25">
        <v>0</v>
      </c>
    </row>
    <row r="18" spans="2:11">
      <c r="B18" s="6" t="s">
        <v>96</v>
      </c>
      <c r="C18" s="57"/>
      <c r="D18" s="57"/>
      <c r="E18" s="57"/>
      <c r="G18" s="25">
        <v>0</v>
      </c>
      <c r="H18" s="25">
        <v>0</v>
      </c>
      <c r="I18" s="25">
        <v>0</v>
      </c>
      <c r="J18" s="25">
        <v>0</v>
      </c>
      <c r="K18" s="25">
        <v>0</v>
      </c>
    </row>
    <row r="19" spans="2:11">
      <c r="B19" s="6" t="s">
        <v>97</v>
      </c>
      <c r="C19" s="57"/>
      <c r="D19" s="57"/>
      <c r="E19" s="57"/>
      <c r="G19" s="25">
        <v>0</v>
      </c>
      <c r="H19" s="25">
        <v>0</v>
      </c>
      <c r="I19" s="25">
        <v>0</v>
      </c>
      <c r="J19" s="25">
        <v>0</v>
      </c>
      <c r="K19" s="25">
        <v>0</v>
      </c>
    </row>
    <row r="20" spans="2:11" ht="3.75" customHeight="1">
      <c r="G20" s="26"/>
      <c r="H20" s="26"/>
      <c r="I20" s="26"/>
      <c r="J20" s="26"/>
      <c r="K20" s="26"/>
    </row>
    <row r="21" spans="2:11">
      <c r="B21" s="6" t="s">
        <v>69</v>
      </c>
      <c r="C21" s="6">
        <f>'P&amp;L source'!D8+'P&amp;L source'!D9</f>
        <v>-142394.36746666671</v>
      </c>
      <c r="D21" s="6">
        <f>'P&amp;L source'!E8+'P&amp;L source'!E9</f>
        <v>-150572.16639999999</v>
      </c>
      <c r="E21" s="6">
        <f>'P&amp;L source'!F8+'P&amp;L source'!F9</f>
        <v>-157523.118425397</v>
      </c>
      <c r="G21" s="35">
        <f>G9*$G$22</f>
        <v>-174193.976</v>
      </c>
      <c r="H21" s="35">
        <f t="shared" ref="H21:K21" si="9">H9*H22</f>
        <v>-191613.37360000002</v>
      </c>
      <c r="I21" s="35">
        <f t="shared" si="9"/>
        <v>-210774.71096000005</v>
      </c>
      <c r="J21" s="35">
        <f t="shared" si="9"/>
        <v>-231852.18205600011</v>
      </c>
      <c r="K21" s="35">
        <f t="shared" si="9"/>
        <v>-255037.40026160012</v>
      </c>
    </row>
    <row r="22" spans="2:11">
      <c r="B22" s="6" t="s">
        <v>103</v>
      </c>
      <c r="C22" s="23">
        <f>C21/C9</f>
        <v>-0.8035663474470901</v>
      </c>
      <c r="D22" s="23">
        <f t="shared" ref="D22:E22" si="10">D21/D9</f>
        <v>-0.79829160737575411</v>
      </c>
      <c r="E22" s="23">
        <f t="shared" si="10"/>
        <v>-0.75599242882906514</v>
      </c>
      <c r="G22" s="25">
        <f>CHOOSE($C$5,G23,G24,G25)</f>
        <v>-0.76</v>
      </c>
      <c r="H22" s="25">
        <f t="shared" ref="H22" si="11">CHOOSE($C$5,H23,H24,H25)</f>
        <v>-0.76</v>
      </c>
      <c r="I22" s="25">
        <f t="shared" ref="I22" si="12">CHOOSE($C$5,I23,I24,I25)</f>
        <v>-0.76</v>
      </c>
      <c r="J22" s="25">
        <f t="shared" ref="J22" si="13">CHOOSE($C$5,J23,J24,J25)</f>
        <v>-0.76</v>
      </c>
      <c r="K22" s="25">
        <f t="shared" ref="K22" si="14">CHOOSE($C$5,K23,K24,K25)</f>
        <v>-0.76</v>
      </c>
    </row>
    <row r="23" spans="2:11">
      <c r="B23" s="6" t="s">
        <v>95</v>
      </c>
      <c r="C23" s="57"/>
      <c r="D23" s="57"/>
      <c r="E23" s="57"/>
      <c r="G23" s="25">
        <f>-76%</f>
        <v>-0.76</v>
      </c>
      <c r="H23" s="25">
        <f t="shared" ref="H23:K23" si="15">-76%</f>
        <v>-0.76</v>
      </c>
      <c r="I23" s="25">
        <f t="shared" si="15"/>
        <v>-0.76</v>
      </c>
      <c r="J23" s="25">
        <f t="shared" si="15"/>
        <v>-0.76</v>
      </c>
      <c r="K23" s="25">
        <f t="shared" si="15"/>
        <v>-0.76</v>
      </c>
    </row>
    <row r="24" spans="2:11">
      <c r="B24" s="6" t="s">
        <v>96</v>
      </c>
      <c r="C24" s="57"/>
      <c r="D24" s="57"/>
      <c r="E24" s="57"/>
      <c r="G24" s="25">
        <f>-78%</f>
        <v>-0.78</v>
      </c>
      <c r="H24" s="25">
        <f t="shared" ref="H24:K24" si="16">-78%</f>
        <v>-0.78</v>
      </c>
      <c r="I24" s="25">
        <f t="shared" si="16"/>
        <v>-0.78</v>
      </c>
      <c r="J24" s="25">
        <f t="shared" si="16"/>
        <v>-0.78</v>
      </c>
      <c r="K24" s="25">
        <f t="shared" si="16"/>
        <v>-0.78</v>
      </c>
    </row>
    <row r="25" spans="2:11" ht="12" customHeight="1">
      <c r="B25" s="6" t="s">
        <v>97</v>
      </c>
      <c r="C25" s="57"/>
      <c r="D25" s="57"/>
      <c r="E25" s="57"/>
      <c r="G25" s="25">
        <f>-80%</f>
        <v>-0.8</v>
      </c>
      <c r="H25" s="25">
        <f t="shared" ref="H25:K25" si="17">-80%</f>
        <v>-0.8</v>
      </c>
      <c r="I25" s="25">
        <f t="shared" si="17"/>
        <v>-0.8</v>
      </c>
      <c r="J25" s="25">
        <f t="shared" si="17"/>
        <v>-0.8</v>
      </c>
      <c r="K25" s="25">
        <f t="shared" si="17"/>
        <v>-0.8</v>
      </c>
    </row>
    <row r="26" spans="2:11" ht="3.75" customHeight="1">
      <c r="G26" s="26"/>
      <c r="H26" s="26"/>
      <c r="I26" s="26"/>
      <c r="J26" s="26"/>
      <c r="K26" s="26"/>
    </row>
    <row r="27" spans="2:11" ht="12" customHeight="1">
      <c r="B27" s="6" t="s">
        <v>104</v>
      </c>
      <c r="C27" s="6">
        <f>'P&amp;L source'!D10+'P&amp;L source'!D11+'P&amp;L source'!D12</f>
        <v>-18011.315200000005</v>
      </c>
      <c r="D27" s="6">
        <f>'P&amp;L source'!E10+'P&amp;L source'!E11+'P&amp;L source'!E12</f>
        <v>-19247.897599999997</v>
      </c>
      <c r="E27" s="6">
        <f>'P&amp;L source'!F10+'P&amp;L source'!F11+'P&amp;L source'!F12</f>
        <v>-23867.008000000009</v>
      </c>
      <c r="G27" s="35">
        <f>G28*G9</f>
        <v>-22920.260000000002</v>
      </c>
      <c r="H27" s="35">
        <f t="shared" ref="H27:K27" si="18">H28*H9</f>
        <v>-25212.286000000004</v>
      </c>
      <c r="I27" s="35">
        <f t="shared" si="18"/>
        <v>-27733.51460000001</v>
      </c>
      <c r="J27" s="35">
        <f t="shared" si="18"/>
        <v>-30506.866060000015</v>
      </c>
      <c r="K27" s="35">
        <f t="shared" si="18"/>
        <v>-33557.552666000018</v>
      </c>
    </row>
    <row r="28" spans="2:11" ht="12" customHeight="1">
      <c r="B28" s="6" t="s">
        <v>103</v>
      </c>
      <c r="C28" s="23">
        <f>C27/C9</f>
        <v>-0.10164227016472635</v>
      </c>
      <c r="D28" s="23">
        <f t="shared" ref="D28:E28" si="19">D27/D9</f>
        <v>-0.10204698173026963</v>
      </c>
      <c r="E28" s="23">
        <f t="shared" si="19"/>
        <v>-0.11454367795129727</v>
      </c>
      <c r="G28" s="25">
        <f>CHOOSE($C$5,G29,G30,G31)</f>
        <v>-0.1</v>
      </c>
      <c r="H28" s="25">
        <f t="shared" ref="H28" si="20">CHOOSE($C$5,H29,H30,H31)</f>
        <v>-0.1</v>
      </c>
      <c r="I28" s="25">
        <f t="shared" ref="I28" si="21">CHOOSE($C$5,I29,I30,I31)</f>
        <v>-0.1</v>
      </c>
      <c r="J28" s="25">
        <f t="shared" ref="J28" si="22">CHOOSE($C$5,J29,J30,J31)</f>
        <v>-0.1</v>
      </c>
      <c r="K28" s="25">
        <f t="shared" ref="K28" si="23">CHOOSE($C$5,K29,K30,K31)</f>
        <v>-0.1</v>
      </c>
    </row>
    <row r="29" spans="2:11">
      <c r="B29" s="6" t="s">
        <v>95</v>
      </c>
      <c r="C29" s="57"/>
      <c r="D29" s="57"/>
      <c r="E29" s="57"/>
      <c r="G29" s="58">
        <v>-0.1</v>
      </c>
      <c r="H29" s="58">
        <v>-0.1</v>
      </c>
      <c r="I29" s="58">
        <v>-0.1</v>
      </c>
      <c r="J29" s="58">
        <v>-0.1</v>
      </c>
      <c r="K29" s="58">
        <v>-0.1</v>
      </c>
    </row>
    <row r="30" spans="2:11">
      <c r="B30" s="6" t="s">
        <v>96</v>
      </c>
      <c r="C30" s="57"/>
      <c r="D30" s="57"/>
      <c r="E30" s="57"/>
      <c r="G30" s="58">
        <v>-0.105</v>
      </c>
      <c r="H30" s="58">
        <v>-0.105</v>
      </c>
      <c r="I30" s="58">
        <v>-0.105</v>
      </c>
      <c r="J30" s="58">
        <v>-0.105</v>
      </c>
      <c r="K30" s="58">
        <v>-0.105</v>
      </c>
    </row>
    <row r="31" spans="2:11">
      <c r="B31" s="6" t="s">
        <v>97</v>
      </c>
      <c r="C31" s="57"/>
      <c r="D31" s="57"/>
      <c r="E31" s="57"/>
      <c r="G31" s="58">
        <v>0.11</v>
      </c>
      <c r="H31" s="58">
        <v>0.11</v>
      </c>
      <c r="I31" s="58">
        <v>0.11</v>
      </c>
      <c r="J31" s="58">
        <v>0.11</v>
      </c>
      <c r="K31" s="58">
        <v>0.11</v>
      </c>
    </row>
    <row r="32" spans="2:11" ht="6" customHeight="1">
      <c r="G32" s="25"/>
      <c r="H32" s="25"/>
      <c r="I32" s="25"/>
      <c r="J32" s="25"/>
      <c r="K32" s="25"/>
    </row>
    <row r="33" spans="2:11">
      <c r="B33" s="6" t="s">
        <v>15</v>
      </c>
      <c r="C33" s="6">
        <f>'P&amp;L source'!D16</f>
        <v>-2907.8000000000006</v>
      </c>
      <c r="D33" s="6">
        <f>'P&amp;L source'!E16</f>
        <v>-4649.8</v>
      </c>
      <c r="E33" s="6">
        <f>'P&amp;L source'!F16</f>
        <v>-6430.6600000000008</v>
      </c>
      <c r="G33" s="26">
        <f>G34*G9</f>
        <v>-4584.0520000000006</v>
      </c>
      <c r="H33" s="26">
        <f t="shared" ref="H33:K33" si="24">H34*H9</f>
        <v>-5042.4572000000007</v>
      </c>
      <c r="I33" s="26">
        <f t="shared" si="24"/>
        <v>-5546.7029200000015</v>
      </c>
      <c r="J33" s="26">
        <f t="shared" si="24"/>
        <v>-6101.3732120000022</v>
      </c>
      <c r="K33" s="26">
        <f t="shared" si="24"/>
        <v>-6711.510533200003</v>
      </c>
    </row>
    <row r="34" spans="2:11">
      <c r="B34" s="6" t="s">
        <v>103</v>
      </c>
      <c r="C34" s="23">
        <f>C33/C9</f>
        <v>-1.6409428734276511E-2</v>
      </c>
      <c r="D34" s="23">
        <f t="shared" ref="D34:E34" si="25">D33/D9</f>
        <v>-2.4651942020379815E-2</v>
      </c>
      <c r="E34" s="23">
        <f t="shared" si="25"/>
        <v>-3.0862328786846225E-2</v>
      </c>
      <c r="G34" s="25">
        <f>CHOOSE($C$5,G35,G36,G37)</f>
        <v>-0.02</v>
      </c>
      <c r="H34" s="25">
        <f t="shared" ref="H34" si="26">CHOOSE($C$5,H35,H36,H37)</f>
        <v>-0.02</v>
      </c>
      <c r="I34" s="25">
        <f t="shared" ref="I34" si="27">CHOOSE($C$5,I35,I36,I37)</f>
        <v>-0.02</v>
      </c>
      <c r="J34" s="25">
        <f t="shared" ref="J34" si="28">CHOOSE($C$5,J35,J36,J37)</f>
        <v>-0.02</v>
      </c>
      <c r="K34" s="25">
        <f t="shared" ref="K34" si="29">CHOOSE($C$5,K35,K36,K37)</f>
        <v>-0.02</v>
      </c>
    </row>
    <row r="35" spans="2:11">
      <c r="B35" s="6" t="s">
        <v>95</v>
      </c>
      <c r="C35" s="57"/>
      <c r="D35" s="57"/>
      <c r="E35" s="57"/>
      <c r="G35" s="58">
        <v>-0.02</v>
      </c>
      <c r="H35" s="58">
        <v>-0.02</v>
      </c>
      <c r="I35" s="58">
        <v>-0.02</v>
      </c>
      <c r="J35" s="58">
        <v>-0.02</v>
      </c>
      <c r="K35" s="58">
        <v>-0.02</v>
      </c>
    </row>
    <row r="36" spans="2:11">
      <c r="B36" s="6" t="s">
        <v>96</v>
      </c>
      <c r="C36" s="57"/>
      <c r="D36" s="57"/>
      <c r="E36" s="57"/>
      <c r="G36" s="58">
        <v>-2.5000000000000001E-2</v>
      </c>
      <c r="H36" s="58">
        <v>-2.5000000000000001E-2</v>
      </c>
      <c r="I36" s="58">
        <v>-2.5000000000000001E-2</v>
      </c>
      <c r="J36" s="58">
        <v>-2.5000000000000001E-2</v>
      </c>
      <c r="K36" s="58">
        <v>-2.5000000000000001E-2</v>
      </c>
    </row>
    <row r="37" spans="2:11">
      <c r="B37" s="6" t="s">
        <v>97</v>
      </c>
      <c r="C37" s="57"/>
      <c r="D37" s="57"/>
      <c r="E37" s="57"/>
      <c r="G37" s="58">
        <v>-0.03</v>
      </c>
      <c r="H37" s="58">
        <v>-0.03</v>
      </c>
      <c r="I37" s="58">
        <v>-0.03</v>
      </c>
      <c r="J37" s="58">
        <v>-0.03</v>
      </c>
      <c r="K37" s="58">
        <v>-0.03</v>
      </c>
    </row>
    <row r="38" spans="2:11" ht="6" customHeight="1">
      <c r="G38" s="25"/>
      <c r="H38" s="25"/>
      <c r="I38" s="25"/>
      <c r="J38" s="25"/>
      <c r="K38" s="25"/>
    </row>
    <row r="39" spans="2:11">
      <c r="B39" s="6" t="s">
        <v>105</v>
      </c>
      <c r="C39" s="6">
        <f>'P&amp;L source'!D20</f>
        <v>-1266.3000000000002</v>
      </c>
      <c r="D39" s="6">
        <f>'P&amp;L source'!E20</f>
        <v>-2190.9</v>
      </c>
      <c r="E39" s="6">
        <f>'P&amp;L source'!F20</f>
        <v>-2663.92</v>
      </c>
      <c r="G39" s="19">
        <f>E39</f>
        <v>-2663.92</v>
      </c>
      <c r="H39" s="59">
        <f>G39</f>
        <v>-2663.92</v>
      </c>
      <c r="I39" s="59">
        <f t="shared" ref="I39:K39" si="30">H39</f>
        <v>-2663.92</v>
      </c>
      <c r="J39" s="59">
        <f t="shared" si="30"/>
        <v>-2663.92</v>
      </c>
      <c r="K39" s="59">
        <f t="shared" si="30"/>
        <v>-2663.92</v>
      </c>
    </row>
    <row r="40" spans="2:11">
      <c r="B40" s="6" t="s">
        <v>102</v>
      </c>
      <c r="G40" s="25">
        <f>CHOOSE($C$5,G41,G42,G43)</f>
        <v>0</v>
      </c>
      <c r="H40" s="25">
        <f t="shared" ref="H40" si="31">CHOOSE($C$5,H41,H42,H43)</f>
        <v>0</v>
      </c>
      <c r="I40" s="25">
        <f t="shared" ref="I40" si="32">CHOOSE($C$5,I41,I42,I43)</f>
        <v>0</v>
      </c>
      <c r="J40" s="25">
        <f t="shared" ref="J40" si="33">CHOOSE($C$5,J41,J42,J43)</f>
        <v>0</v>
      </c>
      <c r="K40" s="25">
        <f t="shared" ref="K40" si="34">CHOOSE($C$5,K41,K42,K43)</f>
        <v>0</v>
      </c>
    </row>
    <row r="41" spans="2:11">
      <c r="B41" s="6" t="s">
        <v>95</v>
      </c>
      <c r="C41" s="57"/>
      <c r="D41" s="57"/>
      <c r="E41" s="57"/>
      <c r="G41" s="25">
        <v>0</v>
      </c>
      <c r="H41" s="25">
        <v>0</v>
      </c>
      <c r="I41" s="25">
        <v>0</v>
      </c>
      <c r="J41" s="25">
        <v>0</v>
      </c>
      <c r="K41" s="25">
        <v>0</v>
      </c>
    </row>
    <row r="42" spans="2:11">
      <c r="B42" s="6" t="s">
        <v>96</v>
      </c>
      <c r="C42" s="57"/>
      <c r="D42" s="57"/>
      <c r="E42" s="57"/>
      <c r="G42" s="25">
        <v>0</v>
      </c>
      <c r="H42" s="25">
        <v>0</v>
      </c>
      <c r="I42" s="25">
        <v>0</v>
      </c>
      <c r="J42" s="25">
        <v>0</v>
      </c>
      <c r="K42" s="25">
        <v>0</v>
      </c>
    </row>
    <row r="43" spans="2:11">
      <c r="B43" s="6" t="s">
        <v>97</v>
      </c>
      <c r="C43" s="57"/>
      <c r="D43" s="57"/>
      <c r="E43" s="57"/>
      <c r="G43" s="25">
        <v>0</v>
      </c>
      <c r="H43" s="25">
        <v>0</v>
      </c>
      <c r="I43" s="25">
        <v>0</v>
      </c>
      <c r="J43" s="25">
        <v>0</v>
      </c>
      <c r="K43" s="25">
        <v>0</v>
      </c>
    </row>
    <row r="44" spans="2:11" ht="5" customHeight="1">
      <c r="G44" s="25"/>
      <c r="H44" s="25"/>
      <c r="I44" s="25"/>
      <c r="J44" s="25"/>
      <c r="K44" s="25"/>
    </row>
    <row r="45" spans="2:11">
      <c r="B45" s="6" t="s">
        <v>18</v>
      </c>
      <c r="C45" s="6">
        <f>'P&amp;L source'!D21</f>
        <v>-317.58000000000004</v>
      </c>
      <c r="D45" s="6">
        <f>'P&amp;L source'!E21</f>
        <v>-864.30000000000007</v>
      </c>
      <c r="E45" s="6">
        <f>'P&amp;L source'!F21</f>
        <v>-320.26</v>
      </c>
      <c r="G45" s="19">
        <f>G46*G$9</f>
        <v>0</v>
      </c>
      <c r="H45" s="19">
        <f t="shared" ref="H45:K45" si="35">H46*H$9</f>
        <v>0</v>
      </c>
      <c r="I45" s="19">
        <f t="shared" si="35"/>
        <v>0</v>
      </c>
      <c r="J45" s="19">
        <f t="shared" si="35"/>
        <v>0</v>
      </c>
      <c r="K45" s="19">
        <f t="shared" si="35"/>
        <v>0</v>
      </c>
    </row>
    <row r="46" spans="2:11">
      <c r="B46" s="6" t="s">
        <v>102</v>
      </c>
      <c r="C46" s="24">
        <f>C45/C9</f>
        <v>-1.7921818479371119E-3</v>
      </c>
      <c r="D46" s="24">
        <f t="shared" ref="D46:E46" si="36">D45/D9</f>
        <v>-4.5822774072463929E-3</v>
      </c>
      <c r="E46" s="24">
        <f t="shared" si="36"/>
        <v>-1.5370069973028228E-3</v>
      </c>
      <c r="G46" s="25">
        <f>CHOOSE($C$5,G47,G48,G49)</f>
        <v>0</v>
      </c>
      <c r="H46" s="25">
        <f t="shared" ref="H46" si="37">CHOOSE($C$5,H47,H48,H49)</f>
        <v>0</v>
      </c>
      <c r="I46" s="25">
        <f t="shared" ref="I46" si="38">CHOOSE($C$5,I47,I48,I49)</f>
        <v>0</v>
      </c>
      <c r="J46" s="25">
        <f t="shared" ref="J46" si="39">CHOOSE($C$5,J47,J48,J49)</f>
        <v>0</v>
      </c>
      <c r="K46" s="25">
        <f t="shared" ref="K46" si="40">CHOOSE($C$5,K47,K48,K49)</f>
        <v>0</v>
      </c>
    </row>
    <row r="47" spans="2:11">
      <c r="B47" s="6" t="s">
        <v>95</v>
      </c>
      <c r="C47" s="57"/>
      <c r="D47" s="57"/>
      <c r="E47" s="57"/>
      <c r="G47" s="25">
        <v>0</v>
      </c>
      <c r="H47" s="25">
        <v>0</v>
      </c>
      <c r="I47" s="25">
        <v>0</v>
      </c>
      <c r="J47" s="25">
        <v>0</v>
      </c>
      <c r="K47" s="25">
        <v>0</v>
      </c>
    </row>
    <row r="48" spans="2:11">
      <c r="B48" s="6" t="s">
        <v>96</v>
      </c>
      <c r="C48" s="57"/>
      <c r="D48" s="57"/>
      <c r="E48" s="57"/>
      <c r="G48" s="25">
        <v>0</v>
      </c>
      <c r="H48" s="25">
        <v>0</v>
      </c>
      <c r="I48" s="25">
        <v>0</v>
      </c>
      <c r="J48" s="25">
        <v>0</v>
      </c>
      <c r="K48" s="25">
        <v>0</v>
      </c>
    </row>
    <row r="49" spans="2:11">
      <c r="B49" s="6" t="s">
        <v>97</v>
      </c>
      <c r="C49" s="57"/>
      <c r="D49" s="57"/>
      <c r="E49" s="57"/>
      <c r="G49" s="25">
        <v>0</v>
      </c>
      <c r="H49" s="25">
        <v>0</v>
      </c>
      <c r="I49" s="25">
        <v>0</v>
      </c>
      <c r="J49" s="25">
        <v>0</v>
      </c>
      <c r="K49" s="25">
        <v>0</v>
      </c>
    </row>
    <row r="50" spans="2:11" ht="4" customHeight="1">
      <c r="G50" s="25"/>
      <c r="H50" s="25"/>
      <c r="I50" s="25"/>
      <c r="J50" s="25"/>
      <c r="K50" s="25"/>
    </row>
    <row r="51" spans="2:11">
      <c r="B51" s="6" t="s">
        <v>20</v>
      </c>
      <c r="C51" s="6">
        <f>'P&amp;L source'!D25</f>
        <v>-3805.7759999999998</v>
      </c>
      <c r="D51" s="6">
        <f>'P&amp;L source'!E25</f>
        <v>-3050.192</v>
      </c>
      <c r="E51" s="6">
        <f>'P&amp;L source'!F25</f>
        <v>-3814.88</v>
      </c>
      <c r="G51" s="25"/>
      <c r="H51" s="25"/>
      <c r="I51" s="25"/>
      <c r="J51" s="25"/>
      <c r="K51" s="25"/>
    </row>
    <row r="52" spans="2:11">
      <c r="B52" s="6" t="s">
        <v>106</v>
      </c>
      <c r="C52" s="23">
        <f>C51/'P&amp;L source'!D23</f>
        <v>-0.2404816892893126</v>
      </c>
      <c r="D52" s="23">
        <f>D51/'P&amp;L source'!E23</f>
        <v>-0.22579069143565386</v>
      </c>
      <c r="E52" s="23">
        <f>E51/'P&amp;L source'!F23</f>
        <v>-0.18936134430001197</v>
      </c>
      <c r="G52" s="25">
        <f>CHOOSE($C$5,G53,G54,G55)</f>
        <v>-0.18</v>
      </c>
      <c r="H52" s="25">
        <f t="shared" ref="H52" si="41">CHOOSE($C$5,H53,H54,H55)</f>
        <v>-0.18</v>
      </c>
      <c r="I52" s="25">
        <f t="shared" ref="I52" si="42">CHOOSE($C$5,I53,I54,I55)</f>
        <v>-0.18</v>
      </c>
      <c r="J52" s="25">
        <f t="shared" ref="J52" si="43">CHOOSE($C$5,J53,J54,J55)</f>
        <v>-0.18</v>
      </c>
      <c r="K52" s="25">
        <f t="shared" ref="K52" si="44">CHOOSE($C$5,K53,K54,K55)</f>
        <v>-0.18</v>
      </c>
    </row>
    <row r="53" spans="2:11">
      <c r="B53" s="6" t="s">
        <v>95</v>
      </c>
      <c r="C53" s="57"/>
      <c r="D53" s="57"/>
      <c r="E53" s="57"/>
      <c r="G53" s="25">
        <v>-0.18</v>
      </c>
      <c r="H53" s="25">
        <v>-0.18</v>
      </c>
      <c r="I53" s="25">
        <v>-0.18</v>
      </c>
      <c r="J53" s="25">
        <v>-0.18</v>
      </c>
      <c r="K53" s="25">
        <v>-0.18</v>
      </c>
    </row>
    <row r="54" spans="2:11">
      <c r="B54" s="6" t="s">
        <v>96</v>
      </c>
      <c r="C54" s="57"/>
      <c r="D54" s="57"/>
      <c r="E54" s="57"/>
      <c r="G54" s="25">
        <v>-0.2</v>
      </c>
      <c r="H54" s="25">
        <v>-0.2</v>
      </c>
      <c r="I54" s="25">
        <v>-0.2</v>
      </c>
      <c r="J54" s="25">
        <v>-0.2</v>
      </c>
      <c r="K54" s="25">
        <v>-0.2</v>
      </c>
    </row>
    <row r="55" spans="2:11">
      <c r="B55" s="6" t="s">
        <v>97</v>
      </c>
      <c r="C55" s="57"/>
      <c r="D55" s="57"/>
      <c r="E55" s="57"/>
      <c r="G55" s="25">
        <v>-0.22</v>
      </c>
      <c r="H55" s="25">
        <v>-0.22</v>
      </c>
      <c r="I55" s="25">
        <v>-0.22</v>
      </c>
      <c r="J55" s="25">
        <v>-0.22</v>
      </c>
      <c r="K55" s="25">
        <v>-0.22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K21"/>
  <sheetViews>
    <sheetView zoomScale="110" zoomScaleNormal="100" workbookViewId="0">
      <selection activeCell="H11" sqref="H11:K11"/>
    </sheetView>
  </sheetViews>
  <sheetFormatPr baseColWidth="10" defaultColWidth="9.1640625" defaultRowHeight="12"/>
  <cols>
    <col min="1" max="1" width="2" style="6" customWidth="1"/>
    <col min="2" max="2" width="19.1640625" style="6" customWidth="1"/>
    <col min="3" max="3" width="12.33203125" style="6" bestFit="1" customWidth="1"/>
    <col min="4" max="4" width="9.1640625" style="6"/>
    <col min="5" max="5" width="10" style="6" bestFit="1" customWidth="1"/>
    <col min="6" max="6" width="2" style="6" customWidth="1"/>
    <col min="7" max="7" width="11" style="6" bestFit="1" customWidth="1"/>
    <col min="8" max="16384" width="9.1640625" style="6"/>
  </cols>
  <sheetData>
    <row r="1" spans="2:11" ht="16">
      <c r="B1" s="5" t="s">
        <v>24</v>
      </c>
    </row>
    <row r="3" spans="2:11" ht="3.75" customHeight="1"/>
    <row r="4" spans="2:11" ht="27" thickBot="1">
      <c r="B4" s="16" t="s">
        <v>47</v>
      </c>
      <c r="C4" s="17" t="s">
        <v>79</v>
      </c>
      <c r="D4" s="17" t="s">
        <v>80</v>
      </c>
      <c r="E4" s="17" t="s">
        <v>81</v>
      </c>
      <c r="F4" s="20"/>
      <c r="G4" s="18" t="s">
        <v>82</v>
      </c>
      <c r="H4" s="18" t="s">
        <v>83</v>
      </c>
      <c r="I4" s="18" t="s">
        <v>84</v>
      </c>
      <c r="J4" s="18" t="s">
        <v>85</v>
      </c>
      <c r="K4" s="18" t="s">
        <v>86</v>
      </c>
    </row>
    <row r="5" spans="2:11">
      <c r="B5" s="60" t="s">
        <v>71</v>
      </c>
      <c r="C5" s="12">
        <f>'BS source'!D11</f>
        <v>32883.599999999999</v>
      </c>
      <c r="D5" s="12">
        <f>'BS source'!E11</f>
        <v>38556</v>
      </c>
      <c r="E5" s="12">
        <f>'BS source'!F11</f>
        <v>43581.599999999999</v>
      </c>
      <c r="G5" s="26">
        <f>G6*'P&amp;L assumptions'!G9/360</f>
        <v>47939.759999999995</v>
      </c>
      <c r="H5" s="26">
        <f>H6*'P&amp;L assumptions'!H9/360</f>
        <v>52733.736000000004</v>
      </c>
      <c r="I5" s="26">
        <f>I6*'P&amp;L assumptions'!I9/360</f>
        <v>58007.109600000011</v>
      </c>
      <c r="J5" s="26">
        <f>J6*'P&amp;L assumptions'!J9/360</f>
        <v>63807.820560000022</v>
      </c>
      <c r="K5" s="26">
        <f>K6*'P&amp;L assumptions'!K9/360</f>
        <v>70188.602616000018</v>
      </c>
    </row>
    <row r="6" spans="2:11">
      <c r="B6" s="15" t="s">
        <v>107</v>
      </c>
      <c r="C6" s="15">
        <f>C5/'P&amp;L assumptions'!C9 * 360</f>
        <v>66.805279820319072</v>
      </c>
      <c r="D6" s="15">
        <f>D5/'P&amp;L assumptions'!D9 * 360</f>
        <v>73.588734903349632</v>
      </c>
      <c r="E6" s="15">
        <f>E5/'P&amp;L assumptions'!E9 * 360</f>
        <v>75.297198199322338</v>
      </c>
      <c r="G6" s="37">
        <f>$E$6</f>
        <v>75.297198199322338</v>
      </c>
      <c r="H6" s="37">
        <f t="shared" ref="H6:K6" si="0">$E$6</f>
        <v>75.297198199322338</v>
      </c>
      <c r="I6" s="37">
        <f t="shared" si="0"/>
        <v>75.297198199322338</v>
      </c>
      <c r="J6" s="37">
        <f t="shared" si="0"/>
        <v>75.297198199322338</v>
      </c>
      <c r="K6" s="37">
        <f t="shared" si="0"/>
        <v>75.297198199322338</v>
      </c>
    </row>
    <row r="7" spans="2:11">
      <c r="C7" s="12"/>
      <c r="D7" s="12"/>
      <c r="E7" s="12"/>
      <c r="G7" s="19"/>
      <c r="H7" s="19"/>
      <c r="I7" s="19"/>
      <c r="J7" s="19"/>
      <c r="K7" s="19"/>
    </row>
    <row r="8" spans="2:11">
      <c r="B8" s="60" t="s">
        <v>29</v>
      </c>
      <c r="C8" s="12">
        <f>'BS source'!D10</f>
        <v>31167.200000000001</v>
      </c>
      <c r="D8" s="12">
        <f>'BS source'!E10</f>
        <v>36396.800000000003</v>
      </c>
      <c r="E8" s="12">
        <f>'BS source'!F10</f>
        <v>46212</v>
      </c>
      <c r="G8" s="26">
        <f>-G9*'P&amp;L assumptions'!G$21/360</f>
        <v>51102.670511975753</v>
      </c>
      <c r="H8" s="26">
        <f>-H9*'P&amp;L assumptions'!H$21/360</f>
        <v>56212.937563173342</v>
      </c>
      <c r="I8" s="26">
        <f>-I9*'P&amp;L assumptions'!I$21/360</f>
        <v>61834.231319490689</v>
      </c>
      <c r="J8" s="26">
        <f>-J9*'P&amp;L assumptions'!J$21/360</f>
        <v>68017.654451439768</v>
      </c>
      <c r="K8" s="26">
        <f>-K9*'P&amp;L assumptions'!K$21/360</f>
        <v>74819.419896583742</v>
      </c>
    </row>
    <row r="9" spans="2:11">
      <c r="B9" s="15" t="s">
        <v>108</v>
      </c>
      <c r="C9" s="15">
        <f>-C8/'P&amp;L assumptions'!C$21 * 360</f>
        <v>78.796599890979181</v>
      </c>
      <c r="D9" s="15">
        <f>-D8/'P&amp;L assumptions'!D$21 * 360</f>
        <v>87.020385727810066</v>
      </c>
      <c r="E9" s="15">
        <f>-E8/'P&amp;L assumptions'!E$21 * 360</f>
        <v>105.61192646702818</v>
      </c>
      <c r="G9" s="37">
        <f>$E$9</f>
        <v>105.61192646702818</v>
      </c>
      <c r="H9" s="37">
        <f t="shared" ref="H9:K9" si="1">$E$9</f>
        <v>105.61192646702818</v>
      </c>
      <c r="I9" s="37">
        <f t="shared" si="1"/>
        <v>105.61192646702818</v>
      </c>
      <c r="J9" s="37">
        <f t="shared" si="1"/>
        <v>105.61192646702818</v>
      </c>
      <c r="K9" s="37">
        <f t="shared" si="1"/>
        <v>105.61192646702818</v>
      </c>
    </row>
    <row r="10" spans="2:11">
      <c r="C10" s="12"/>
      <c r="D10" s="12"/>
      <c r="E10" s="12"/>
      <c r="G10" s="19"/>
      <c r="H10" s="19"/>
      <c r="I10" s="19"/>
      <c r="J10" s="19"/>
      <c r="K10" s="19"/>
    </row>
    <row r="11" spans="2:11">
      <c r="B11" s="60" t="s">
        <v>109</v>
      </c>
      <c r="C11" s="12">
        <f>'BS source'!J10</f>
        <v>15891.2</v>
      </c>
      <c r="D11" s="12">
        <f>'BS source'!K10</f>
        <v>26351.599999999999</v>
      </c>
      <c r="E11" s="12">
        <f>'BS source'!L10</f>
        <v>36189.599999999999</v>
      </c>
      <c r="G11" s="26">
        <f>-G12*'P&amp;L assumptions'!G$21/360</f>
        <v>40019.588088812387</v>
      </c>
      <c r="H11" s="26">
        <f>-H12*'P&amp;L assumptions'!H$21/360</f>
        <v>44021.546897693624</v>
      </c>
      <c r="I11" s="26">
        <f>-I12*'P&amp;L assumptions'!I$21/360</f>
        <v>48423.701587462994</v>
      </c>
      <c r="J11" s="26">
        <f>-J12*'P&amp;L assumptions'!J$21/360</f>
        <v>53266.071746209302</v>
      </c>
      <c r="K11" s="26">
        <f>-K12*'P&amp;L assumptions'!K$21/360</f>
        <v>58592.678920830236</v>
      </c>
    </row>
    <row r="12" spans="2:11">
      <c r="B12" s="15" t="s">
        <v>110</v>
      </c>
      <c r="C12" s="15">
        <f>-C11/'P&amp;L assumptions'!C$21 * 360</f>
        <v>40.175971155173656</v>
      </c>
      <c r="D12" s="15">
        <f>-D11/'P&amp;L assumptions'!D$21 * 360</f>
        <v>63.003516697758023</v>
      </c>
      <c r="E12" s="15">
        <f>-E11/'P&amp;L assumptions'!E$21 * 360</f>
        <v>82.706945686643365</v>
      </c>
      <c r="G12" s="37">
        <f>$E$12</f>
        <v>82.706945686643365</v>
      </c>
      <c r="H12" s="37">
        <f t="shared" ref="H12:K12" si="2">$E$12</f>
        <v>82.706945686643365</v>
      </c>
      <c r="I12" s="37">
        <f t="shared" si="2"/>
        <v>82.706945686643365</v>
      </c>
      <c r="J12" s="37">
        <f t="shared" si="2"/>
        <v>82.706945686643365</v>
      </c>
      <c r="K12" s="37">
        <f t="shared" si="2"/>
        <v>82.706945686643365</v>
      </c>
    </row>
    <row r="13" spans="2:11">
      <c r="C13" s="12"/>
      <c r="D13" s="12"/>
      <c r="E13" s="12"/>
      <c r="G13" s="19"/>
      <c r="H13" s="19"/>
      <c r="I13" s="19"/>
      <c r="J13" s="19"/>
      <c r="K13" s="19"/>
    </row>
    <row r="14" spans="2:11">
      <c r="B14" s="60" t="s">
        <v>37</v>
      </c>
      <c r="C14" s="12">
        <f>'BS source'!D5</f>
        <v>45106.400000000001</v>
      </c>
      <c r="D14" s="12">
        <f>'BS source'!E5</f>
        <v>49072.4</v>
      </c>
      <c r="E14" s="12">
        <f>'BS source'!F5</f>
        <v>56109.2</v>
      </c>
      <c r="G14" s="26">
        <f>G15*'P&amp;L assumptions'!G$9</f>
        <v>59898.018769381182</v>
      </c>
      <c r="H14" s="26">
        <f>H15*'P&amp;L assumptions'!H$9</f>
        <v>65887.820646319306</v>
      </c>
      <c r="I14" s="26">
        <f>I15*'P&amp;L assumptions'!I$9</f>
        <v>72476.602710951251</v>
      </c>
      <c r="J14" s="26">
        <f>J15*'P&amp;L assumptions'!J$9</f>
        <v>79724.262982046392</v>
      </c>
      <c r="K14" s="26">
        <f>K15*'P&amp;L assumptions'!K$9</f>
        <v>87696.689280251027</v>
      </c>
    </row>
    <row r="15" spans="2:11">
      <c r="B15" s="15" t="s">
        <v>111</v>
      </c>
      <c r="C15" s="36">
        <f>C14/'P&amp;L assumptions'!C$9</f>
        <v>0.25454648059005774</v>
      </c>
      <c r="D15" s="36">
        <f>D14/'P&amp;L assumptions'!D$9</f>
        <v>0.26016817058817293</v>
      </c>
      <c r="E15" s="36">
        <f>E14/'P&amp;L assumptions'!E$9</f>
        <v>0.26928193659234229</v>
      </c>
      <c r="G15" s="42">
        <f>AVERAGE($C15:$E15)</f>
        <v>0.26133219592352436</v>
      </c>
      <c r="H15" s="42">
        <f t="shared" ref="H15:K15" si="3">AVERAGE($C15:$E15)</f>
        <v>0.26133219592352436</v>
      </c>
      <c r="I15" s="42">
        <f t="shared" si="3"/>
        <v>0.26133219592352436</v>
      </c>
      <c r="J15" s="42">
        <f t="shared" si="3"/>
        <v>0.26133219592352436</v>
      </c>
      <c r="K15" s="42">
        <f t="shared" si="3"/>
        <v>0.26133219592352436</v>
      </c>
    </row>
    <row r="16" spans="2:11">
      <c r="C16" s="12"/>
      <c r="D16" s="12"/>
      <c r="E16" s="12"/>
      <c r="G16" s="43"/>
      <c r="H16" s="43"/>
      <c r="I16" s="43"/>
      <c r="J16" s="43"/>
      <c r="K16" s="43"/>
    </row>
    <row r="17" spans="2:11">
      <c r="B17" s="60" t="s">
        <v>28</v>
      </c>
      <c r="C17" s="12">
        <f>'BS source'!D12</f>
        <v>8841.6</v>
      </c>
      <c r="D17" s="12">
        <f>'BS source'!E12</f>
        <v>11359.199999999999</v>
      </c>
      <c r="E17" s="12">
        <f>'BS source'!F12</f>
        <v>17602.8</v>
      </c>
      <c r="F17" s="12">
        <f>'BS source'!G12</f>
        <v>0</v>
      </c>
      <c r="G17" s="26">
        <f>G18*'P&amp;L assumptions'!G$9</f>
        <v>14867.518484339287</v>
      </c>
      <c r="H17" s="26">
        <f>H18*'P&amp;L assumptions'!H$9</f>
        <v>16354.270332773216</v>
      </c>
      <c r="I17" s="26">
        <f>I18*'P&amp;L assumptions'!I$9</f>
        <v>17989.697366050543</v>
      </c>
      <c r="J17" s="26">
        <f>J18*'P&amp;L assumptions'!J$9</f>
        <v>19788.6671026556</v>
      </c>
      <c r="K17" s="26">
        <f>K18*'P&amp;L assumptions'!K$9</f>
        <v>21767.53381292116</v>
      </c>
    </row>
    <row r="18" spans="2:11">
      <c r="B18" s="15" t="s">
        <v>111</v>
      </c>
      <c r="C18" s="36">
        <f>C17/'P&amp;L assumptions'!C$9</f>
        <v>4.9895317799360059E-2</v>
      </c>
      <c r="D18" s="36">
        <f>D17/'P&amp;L assumptions'!D$9</f>
        <v>6.0223308485934532E-2</v>
      </c>
      <c r="E18" s="36">
        <f>E17/'P&amp;L assumptions'!E$9</f>
        <v>8.4480193505658316E-2</v>
      </c>
      <c r="G18" s="42">
        <f t="shared" ref="G18:K18" si="4">AVERAGE($C18:$E18)</f>
        <v>6.4866273263650964E-2</v>
      </c>
      <c r="H18" s="42">
        <f t="shared" si="4"/>
        <v>6.4866273263650964E-2</v>
      </c>
      <c r="I18" s="42">
        <f t="shared" si="4"/>
        <v>6.4866273263650964E-2</v>
      </c>
      <c r="J18" s="42">
        <f t="shared" si="4"/>
        <v>6.4866273263650964E-2</v>
      </c>
      <c r="K18" s="42">
        <f t="shared" si="4"/>
        <v>6.4866273263650964E-2</v>
      </c>
    </row>
    <row r="19" spans="2:11">
      <c r="C19" s="12"/>
      <c r="D19" s="12"/>
      <c r="E19" s="12"/>
      <c r="G19" s="43"/>
      <c r="H19" s="43"/>
      <c r="I19" s="43"/>
      <c r="J19" s="43"/>
      <c r="K19" s="43"/>
    </row>
    <row r="20" spans="2:11">
      <c r="B20" s="60" t="s">
        <v>39</v>
      </c>
      <c r="C20" s="12">
        <f>SUM('BS source'!J11:J13)</f>
        <v>5969.0386666666891</v>
      </c>
      <c r="D20" s="12">
        <f>SUM('BS source'!K11:K13)</f>
        <v>5800.3560000000052</v>
      </c>
      <c r="E20" s="12">
        <f>SUM('BS source'!L11:L13)</f>
        <v>8473.4464253970418</v>
      </c>
      <c r="G20" s="26">
        <f>G21*'P&amp;L assumptions'!G$9</f>
        <v>8029.9438439337491</v>
      </c>
      <c r="H20" s="26">
        <f>H21*'P&amp;L assumptions'!H$9</f>
        <v>8832.9382283271243</v>
      </c>
      <c r="I20" s="26">
        <f>I21*'P&amp;L assumptions'!I$9</f>
        <v>9716.2320511598391</v>
      </c>
      <c r="J20" s="26">
        <f>J21*'P&amp;L assumptions'!J$9</f>
        <v>10687.855256275825</v>
      </c>
      <c r="K20" s="26">
        <f>K21*'P&amp;L assumptions'!K$9</f>
        <v>11756.640781903407</v>
      </c>
    </row>
    <row r="21" spans="2:11">
      <c r="B21" s="15" t="s">
        <v>111</v>
      </c>
      <c r="C21" s="36">
        <f>C20/'P&amp;L assumptions'!C$9</f>
        <v>3.368474950574589E-2</v>
      </c>
      <c r="D21" s="36">
        <f>D20/'P&amp;L assumptions'!D$9</f>
        <v>3.0751868856630889E-2</v>
      </c>
      <c r="E21" s="36">
        <f>E20/'P&amp;L assumptions'!E$9</f>
        <v>4.0666166387016318E-2</v>
      </c>
      <c r="G21" s="42">
        <f>AVERAGE($C21:$E21)</f>
        <v>3.5034261583131034E-2</v>
      </c>
      <c r="H21" s="42">
        <f t="shared" ref="H21:K21" si="5">AVERAGE($C21:$E21)</f>
        <v>3.5034261583131034E-2</v>
      </c>
      <c r="I21" s="42">
        <f t="shared" si="5"/>
        <v>3.5034261583131034E-2</v>
      </c>
      <c r="J21" s="42">
        <f t="shared" si="5"/>
        <v>3.5034261583131034E-2</v>
      </c>
      <c r="K21" s="42">
        <f t="shared" si="5"/>
        <v>3.5034261583131034E-2</v>
      </c>
    </row>
  </sheetData>
  <pageMargins left="0.7" right="0.7" top="0.75" bottom="0.75" header="0.3" footer="0.3"/>
  <pageSetup orientation="portrait" r:id="rId1"/>
  <ignoredErrors>
    <ignoredError sqref="C20:E20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2060"/>
  </sheetPr>
  <dimension ref="B1:B11"/>
  <sheetViews>
    <sheetView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9">
      <c r="B11" s="54" t="s">
        <v>57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M56"/>
  <sheetViews>
    <sheetView workbookViewId="0">
      <selection activeCell="H34" sqref="H34"/>
    </sheetView>
  </sheetViews>
  <sheetFormatPr baseColWidth="10" defaultColWidth="9.1640625" defaultRowHeight="12"/>
  <cols>
    <col min="1" max="1" width="2" style="6" customWidth="1"/>
    <col min="2" max="2" width="18.33203125" style="6" bestFit="1" customWidth="1"/>
    <col min="3" max="3" width="10.5" style="6" bestFit="1" customWidth="1"/>
    <col min="4" max="5" width="9.1640625" style="6"/>
    <col min="6" max="6" width="2" style="6" customWidth="1"/>
    <col min="7" max="7" width="10.5" style="6" bestFit="1" customWidth="1"/>
    <col min="8" max="11" width="9.1640625" style="6"/>
    <col min="12" max="12" width="2" style="6" customWidth="1"/>
    <col min="13" max="16384" width="9.1640625" style="6"/>
  </cols>
  <sheetData>
    <row r="1" spans="2:13" ht="16">
      <c r="B1" s="5" t="s">
        <v>6</v>
      </c>
    </row>
    <row r="3" spans="2:13" ht="27" thickBot="1">
      <c r="B3" s="16" t="s">
        <v>47</v>
      </c>
      <c r="C3" s="17" t="s">
        <v>79</v>
      </c>
      <c r="D3" s="17" t="s">
        <v>80</v>
      </c>
      <c r="E3" s="17" t="s">
        <v>81</v>
      </c>
      <c r="F3" s="20"/>
      <c r="G3" s="18" t="s">
        <v>82</v>
      </c>
      <c r="H3" s="18" t="s">
        <v>83</v>
      </c>
      <c r="I3" s="18" t="s">
        <v>84</v>
      </c>
      <c r="J3" s="18" t="s">
        <v>85</v>
      </c>
      <c r="K3" s="18" t="s">
        <v>86</v>
      </c>
      <c r="M3" s="21" t="s">
        <v>52</v>
      </c>
    </row>
    <row r="4" spans="2:13">
      <c r="B4" s="6" t="s">
        <v>67</v>
      </c>
      <c r="C4" s="12">
        <f>SUMIF('P&amp;L assumptions'!$B:$B,'P&amp;L'!$B4,'P&amp;L assumptions'!C:C)</f>
        <v>177203</v>
      </c>
      <c r="D4" s="12">
        <f>SUMIF('P&amp;L assumptions'!$B:$B,'P&amp;L'!$B4,'P&amp;L assumptions'!D:D)</f>
        <v>188618</v>
      </c>
      <c r="E4" s="12">
        <f>SUMIF('P&amp;L assumptions'!$B:$B,'P&amp;L'!$B4,'P&amp;L assumptions'!E:E)</f>
        <v>208366</v>
      </c>
      <c r="F4" s="12">
        <f>SUMIF('P&amp;L assumptions'!$B:$B,'P&amp;L'!$B4,'P&amp;L assumptions'!F:F)</f>
        <v>0</v>
      </c>
      <c r="G4" s="26">
        <f>SUMIF('P&amp;L assumptions'!$B:$B,'P&amp;L'!$B4,'P&amp;L assumptions'!G:G)</f>
        <v>229202.6</v>
      </c>
      <c r="H4" s="26">
        <f>SUMIF('P&amp;L assumptions'!$B:$B,'P&amp;L'!$B4,'P&amp;L assumptions'!H:H)</f>
        <v>252122.86000000002</v>
      </c>
      <c r="I4" s="26">
        <f>SUMIF('P&amp;L assumptions'!$B:$B,'P&amp;L'!$B4,'P&amp;L assumptions'!I:I)</f>
        <v>277335.14600000007</v>
      </c>
      <c r="J4" s="26">
        <f>SUMIF('P&amp;L assumptions'!$B:$B,'P&amp;L'!$B4,'P&amp;L assumptions'!J:J)</f>
        <v>305068.66060000012</v>
      </c>
      <c r="K4" s="26">
        <f>SUMIF('P&amp;L assumptions'!$B:$B,'P&amp;L'!$B4,'P&amp;L assumptions'!K:K)</f>
        <v>335575.52666000015</v>
      </c>
    </row>
    <row r="5" spans="2:13">
      <c r="B5" s="6" t="s">
        <v>68</v>
      </c>
      <c r="C5" s="12">
        <f>SUMIF('P&amp;L assumptions'!$B:$B,'P&amp;L'!$B5,'P&amp;L assumptions'!C:C)</f>
        <v>3520</v>
      </c>
      <c r="D5" s="12">
        <f>SUMIF('P&amp;L assumptions'!$B:$B,'P&amp;L'!$B5,'P&amp;L assumptions'!D:D)</f>
        <v>2416</v>
      </c>
      <c r="E5" s="12">
        <f>SUMIF('P&amp;L assumptions'!$B:$B,'P&amp;L'!$B5,'P&amp;L assumptions'!E:E)</f>
        <v>2585</v>
      </c>
      <c r="F5" s="12">
        <f>SUMIF('P&amp;L assumptions'!$B:$B,'P&amp;L'!$B5,'P&amp;L assumptions'!F:F)</f>
        <v>0</v>
      </c>
      <c r="G5" s="26">
        <f>SUMIF('P&amp;L assumptions'!$B:$B,'P&amp;L'!$B5,'P&amp;L assumptions'!G:G)</f>
        <v>2585</v>
      </c>
      <c r="H5" s="26">
        <f>SUMIF('P&amp;L assumptions'!$B:$B,'P&amp;L'!$B5,'P&amp;L assumptions'!H:H)</f>
        <v>2585</v>
      </c>
      <c r="I5" s="26">
        <f>SUMIF('P&amp;L assumptions'!$B:$B,'P&amp;L'!$B5,'P&amp;L assumptions'!I:I)</f>
        <v>2585</v>
      </c>
      <c r="J5" s="26">
        <f>SUMIF('P&amp;L assumptions'!$B:$B,'P&amp;L'!$B5,'P&amp;L assumptions'!J:J)</f>
        <v>2585</v>
      </c>
      <c r="K5" s="26">
        <f>SUMIF('P&amp;L assumptions'!$B:$B,'P&amp;L'!$B5,'P&amp;L assumptions'!K:K)</f>
        <v>2585</v>
      </c>
    </row>
    <row r="6" spans="2:13">
      <c r="B6" s="46" t="s">
        <v>72</v>
      </c>
      <c r="C6" s="47">
        <f>SUM(C4:C5)</f>
        <v>180723</v>
      </c>
      <c r="D6" s="47">
        <f>SUM(D4:D5)</f>
        <v>191034</v>
      </c>
      <c r="E6" s="47">
        <f t="shared" ref="E6:K6" si="0">SUM(E4:E5)</f>
        <v>210951</v>
      </c>
      <c r="F6" s="48">
        <f t="shared" si="0"/>
        <v>0</v>
      </c>
      <c r="G6" s="49">
        <f t="shared" si="0"/>
        <v>231787.6</v>
      </c>
      <c r="H6" s="49">
        <f t="shared" si="0"/>
        <v>254707.86000000002</v>
      </c>
      <c r="I6" s="49">
        <f t="shared" si="0"/>
        <v>279920.14600000007</v>
      </c>
      <c r="J6" s="49">
        <f t="shared" si="0"/>
        <v>307653.66060000012</v>
      </c>
      <c r="K6" s="49">
        <f t="shared" si="0"/>
        <v>338160.52666000015</v>
      </c>
    </row>
    <row r="7" spans="2:13" ht="3.75" customHeight="1">
      <c r="B7" s="22"/>
      <c r="C7" s="32"/>
      <c r="D7" s="32"/>
      <c r="E7" s="32"/>
      <c r="F7" s="33"/>
      <c r="G7" s="26"/>
      <c r="H7" s="26"/>
      <c r="I7" s="26"/>
      <c r="J7" s="26"/>
      <c r="K7" s="26"/>
    </row>
    <row r="8" spans="2:13">
      <c r="B8" s="6" t="s">
        <v>69</v>
      </c>
      <c r="C8" s="12">
        <f>SUMIF('P&amp;L assumptions'!$B:$B,'P&amp;L'!$B8,'P&amp;L assumptions'!C:C)</f>
        <v>-142394.36746666671</v>
      </c>
      <c r="D8" s="12">
        <f>SUMIF('P&amp;L assumptions'!$B:$B,'P&amp;L'!$B8,'P&amp;L assumptions'!D:D)</f>
        <v>-150572.16639999999</v>
      </c>
      <c r="E8" s="12">
        <f>SUMIF('P&amp;L assumptions'!$B:$B,'P&amp;L'!$B8,'P&amp;L assumptions'!E:E)</f>
        <v>-157523.118425397</v>
      </c>
      <c r="F8" s="12">
        <f>SUMIF('P&amp;L assumptions'!$B:$B,'P&amp;L'!$B8,'P&amp;L assumptions'!F:F)</f>
        <v>0</v>
      </c>
      <c r="G8" s="26">
        <f>SUMIF('P&amp;L assumptions'!$B:$B,'P&amp;L'!$B8,'P&amp;L assumptions'!G:G)</f>
        <v>-174193.976</v>
      </c>
      <c r="H8" s="26">
        <f>SUMIF('P&amp;L assumptions'!$B:$B,'P&amp;L'!$B8,'P&amp;L assumptions'!H:H)</f>
        <v>-191613.37360000002</v>
      </c>
      <c r="I8" s="26">
        <f>SUMIF('P&amp;L assumptions'!$B:$B,'P&amp;L'!$B8,'P&amp;L assumptions'!I:I)</f>
        <v>-210774.71096000005</v>
      </c>
      <c r="J8" s="26">
        <f>SUMIF('P&amp;L assumptions'!$B:$B,'P&amp;L'!$B8,'P&amp;L assumptions'!J:J)</f>
        <v>-231852.18205600011</v>
      </c>
      <c r="K8" s="26">
        <f>SUMIF('P&amp;L assumptions'!$B:$B,'P&amp;L'!$B8,'P&amp;L assumptions'!K:K)</f>
        <v>-255037.40026160012</v>
      </c>
    </row>
    <row r="9" spans="2:13">
      <c r="B9" s="46" t="s">
        <v>73</v>
      </c>
      <c r="C9" s="47">
        <f>C6+C8</f>
        <v>38328.632533333293</v>
      </c>
      <c r="D9" s="47">
        <f t="shared" ref="D9:K9" si="1">D6+D8</f>
        <v>40461.833600000013</v>
      </c>
      <c r="E9" s="47">
        <f t="shared" si="1"/>
        <v>53427.881574603001</v>
      </c>
      <c r="F9" s="48">
        <f t="shared" si="1"/>
        <v>0</v>
      </c>
      <c r="G9" s="49">
        <f t="shared" si="1"/>
        <v>57593.624000000011</v>
      </c>
      <c r="H9" s="49">
        <f t="shared" si="1"/>
        <v>63094.486399999994</v>
      </c>
      <c r="I9" s="49">
        <f t="shared" si="1"/>
        <v>69145.435040000011</v>
      </c>
      <c r="J9" s="49">
        <f t="shared" si="1"/>
        <v>75801.478544000012</v>
      </c>
      <c r="K9" s="49">
        <f t="shared" si="1"/>
        <v>83123.126398400025</v>
      </c>
    </row>
    <row r="10" spans="2:13" ht="3.75" customHeight="1">
      <c r="G10" s="26"/>
      <c r="H10" s="26"/>
      <c r="I10" s="26"/>
      <c r="J10" s="26"/>
      <c r="K10" s="26"/>
    </row>
    <row r="11" spans="2:13">
      <c r="B11" s="6" t="s">
        <v>70</v>
      </c>
      <c r="C11" s="12">
        <f>SUMIF('P&amp;L assumptions'!$B:$B,'P&amp;L'!$B11,'P&amp;L assumptions'!C:C)</f>
        <v>-18011.315200000005</v>
      </c>
      <c r="D11" s="12">
        <f>SUMIF('P&amp;L assumptions'!$B:$B,'P&amp;L'!$B11,'P&amp;L assumptions'!D:D)</f>
        <v>-19247.897599999997</v>
      </c>
      <c r="E11" s="12">
        <f>SUMIF('P&amp;L assumptions'!$B:$B,'P&amp;L'!$B11,'P&amp;L assumptions'!E:E)</f>
        <v>-23867.008000000009</v>
      </c>
      <c r="F11" s="12">
        <f>SUMIF('P&amp;L assumptions'!$B:$B,'P&amp;L'!$B11,'P&amp;L assumptions'!F:F)</f>
        <v>0</v>
      </c>
      <c r="G11" s="26">
        <f>SUMIF('P&amp;L assumptions'!$B:$B,'P&amp;L'!$B11,'P&amp;L assumptions'!G:G)</f>
        <v>-22920.260000000002</v>
      </c>
      <c r="H11" s="26">
        <f>SUMIF('P&amp;L assumptions'!$B:$B,'P&amp;L'!$B11,'P&amp;L assumptions'!H:H)</f>
        <v>-25212.286000000004</v>
      </c>
      <c r="I11" s="26">
        <f>SUMIF('P&amp;L assumptions'!$B:$B,'P&amp;L'!$B11,'P&amp;L assumptions'!I:I)</f>
        <v>-27733.51460000001</v>
      </c>
      <c r="J11" s="26">
        <f>SUMIF('P&amp;L assumptions'!$B:$B,'P&amp;L'!$B11,'P&amp;L assumptions'!J:J)</f>
        <v>-30506.866060000015</v>
      </c>
      <c r="K11" s="26">
        <f>SUMIF('P&amp;L assumptions'!$B:$B,'P&amp;L'!$B11,'P&amp;L assumptions'!K:K)</f>
        <v>-33557.552666000018</v>
      </c>
    </row>
    <row r="12" spans="2:13">
      <c r="B12" s="46" t="s">
        <v>14</v>
      </c>
      <c r="C12" s="47">
        <f>C9+C11</f>
        <v>20317.317333333289</v>
      </c>
      <c r="D12" s="47">
        <f t="shared" ref="D12:K12" si="2">D9+D11</f>
        <v>21213.936000000016</v>
      </c>
      <c r="E12" s="47">
        <f t="shared" si="2"/>
        <v>29560.873574602992</v>
      </c>
      <c r="F12" s="48">
        <f t="shared" si="2"/>
        <v>0</v>
      </c>
      <c r="G12" s="49">
        <f t="shared" si="2"/>
        <v>34673.364000000009</v>
      </c>
      <c r="H12" s="49">
        <f t="shared" si="2"/>
        <v>37882.200399999987</v>
      </c>
      <c r="I12" s="49">
        <f t="shared" si="2"/>
        <v>41411.920440000002</v>
      </c>
      <c r="J12" s="49">
        <f t="shared" si="2"/>
        <v>45294.612483999997</v>
      </c>
      <c r="K12" s="49">
        <f t="shared" si="2"/>
        <v>49565.573732400007</v>
      </c>
    </row>
    <row r="13" spans="2:13" ht="3.75" customHeight="1">
      <c r="C13" s="12"/>
      <c r="D13" s="12"/>
      <c r="E13" s="12"/>
      <c r="F13" s="12"/>
      <c r="G13" s="26"/>
      <c r="H13" s="26"/>
      <c r="I13" s="26"/>
      <c r="J13" s="26"/>
      <c r="K13" s="26"/>
    </row>
    <row r="14" spans="2:13">
      <c r="B14" s="6" t="s">
        <v>15</v>
      </c>
      <c r="C14" s="12">
        <f>SUMIF('P&amp;L assumptions'!$B:$B,'P&amp;L'!$B14,'P&amp;L assumptions'!C:C)</f>
        <v>-2907.8000000000006</v>
      </c>
      <c r="D14" s="12">
        <f>SUMIF('P&amp;L assumptions'!$B:$B,'P&amp;L'!$B14,'P&amp;L assumptions'!D:D)</f>
        <v>-4649.8</v>
      </c>
      <c r="E14" s="12">
        <f>SUMIF('P&amp;L assumptions'!$B:$B,'P&amp;L'!$B14,'P&amp;L assumptions'!E:E)</f>
        <v>-6430.6600000000008</v>
      </c>
      <c r="F14" s="12">
        <f>SUMIF('P&amp;L assumptions'!$B:$B,'P&amp;L'!$B14,'P&amp;L assumptions'!F:F)</f>
        <v>0</v>
      </c>
      <c r="G14" s="26">
        <f>SUMIF('P&amp;L assumptions'!$B:$B,'P&amp;L'!$B14,'P&amp;L assumptions'!G:G)</f>
        <v>-4584.0520000000006</v>
      </c>
      <c r="H14" s="26">
        <f>SUMIF('P&amp;L assumptions'!$B:$B,'P&amp;L'!$B14,'P&amp;L assumptions'!H:H)</f>
        <v>-5042.4572000000007</v>
      </c>
      <c r="I14" s="26">
        <f>SUMIF('P&amp;L assumptions'!$B:$B,'P&amp;L'!$B14,'P&amp;L assumptions'!I:I)</f>
        <v>-5546.7029200000015</v>
      </c>
      <c r="J14" s="26">
        <f>SUMIF('P&amp;L assumptions'!$B:$B,'P&amp;L'!$B14,'P&amp;L assumptions'!J:J)</f>
        <v>-6101.3732120000022</v>
      </c>
      <c r="K14" s="26">
        <f>SUMIF('P&amp;L assumptions'!$B:$B,'P&amp;L'!$B14,'P&amp;L assumptions'!K:K)</f>
        <v>-6711.510533200003</v>
      </c>
    </row>
    <row r="15" spans="2:13">
      <c r="B15" s="46" t="s">
        <v>16</v>
      </c>
      <c r="C15" s="47">
        <f>C12+C14</f>
        <v>17409.51733333329</v>
      </c>
      <c r="D15" s="47">
        <f t="shared" ref="D15:K15" si="3">D12+D14</f>
        <v>16564.136000000017</v>
      </c>
      <c r="E15" s="47">
        <f t="shared" si="3"/>
        <v>23130.213574602993</v>
      </c>
      <c r="F15" s="48">
        <f t="shared" si="3"/>
        <v>0</v>
      </c>
      <c r="G15" s="49">
        <f t="shared" si="3"/>
        <v>30089.312000000009</v>
      </c>
      <c r="H15" s="49">
        <f t="shared" si="3"/>
        <v>32839.743199999983</v>
      </c>
      <c r="I15" s="49">
        <f t="shared" si="3"/>
        <v>35865.217519999998</v>
      </c>
      <c r="J15" s="49">
        <f t="shared" si="3"/>
        <v>39193.239271999992</v>
      </c>
      <c r="K15" s="49">
        <f t="shared" si="3"/>
        <v>42854.063199200005</v>
      </c>
    </row>
    <row r="16" spans="2:13" ht="3.75" customHeight="1">
      <c r="B16" s="22"/>
      <c r="C16" s="28"/>
      <c r="D16" s="28"/>
      <c r="E16" s="28"/>
      <c r="F16" s="28"/>
      <c r="G16" s="26"/>
      <c r="H16" s="26"/>
      <c r="I16" s="26"/>
      <c r="J16" s="26"/>
      <c r="K16" s="26"/>
    </row>
    <row r="17" spans="2:11" ht="12" customHeight="1">
      <c r="B17" s="6" t="s">
        <v>105</v>
      </c>
      <c r="C17" s="12">
        <f>SUMIF('P&amp;L assumptions'!$B:$B,'P&amp;L'!$B17,'P&amp;L assumptions'!C:C)</f>
        <v>-1266.3000000000002</v>
      </c>
      <c r="D17" s="12">
        <f>SUMIF('P&amp;L assumptions'!$B:$B,'P&amp;L'!$B17,'P&amp;L assumptions'!D:D)</f>
        <v>-2190.9</v>
      </c>
      <c r="E17" s="12">
        <f>SUMIF('P&amp;L assumptions'!$B:$B,'P&amp;L'!$B17,'P&amp;L assumptions'!E:E)</f>
        <v>-2663.92</v>
      </c>
      <c r="F17" s="12">
        <f>SUMIF('P&amp;L assumptions'!$B:$B,'P&amp;L'!$B17,'P&amp;L assumptions'!F:F)</f>
        <v>0</v>
      </c>
      <c r="G17" s="26">
        <f>SUMIF('P&amp;L assumptions'!$B:$B,'P&amp;L'!$B17,'P&amp;L assumptions'!G:G)</f>
        <v>-2663.92</v>
      </c>
      <c r="H17" s="26">
        <f>SUMIF('P&amp;L assumptions'!$B:$B,'P&amp;L'!$B17,'P&amp;L assumptions'!H:H)</f>
        <v>-2663.92</v>
      </c>
      <c r="I17" s="26">
        <f>SUMIF('P&amp;L assumptions'!$B:$B,'P&amp;L'!$B17,'P&amp;L assumptions'!I:I)</f>
        <v>-2663.92</v>
      </c>
      <c r="J17" s="26">
        <f>SUMIF('P&amp;L assumptions'!$B:$B,'P&amp;L'!$B17,'P&amp;L assumptions'!J:J)</f>
        <v>-2663.92</v>
      </c>
      <c r="K17" s="26">
        <f>SUMIF('P&amp;L assumptions'!$B:$B,'P&amp;L'!$B17,'P&amp;L assumptions'!K:K)</f>
        <v>-2663.92</v>
      </c>
    </row>
    <row r="18" spans="2:11" ht="12" customHeight="1">
      <c r="B18" s="6" t="s">
        <v>18</v>
      </c>
      <c r="C18" s="12">
        <f>SUMIF('P&amp;L assumptions'!$B:$B,'P&amp;L'!$B18,'P&amp;L assumptions'!C:C)</f>
        <v>-317.58000000000004</v>
      </c>
      <c r="D18" s="12">
        <f>SUMIF('P&amp;L assumptions'!$B:$B,'P&amp;L'!$B18,'P&amp;L assumptions'!D:D)</f>
        <v>-864.30000000000007</v>
      </c>
      <c r="E18" s="12">
        <f>SUMIF('P&amp;L assumptions'!$B:$B,'P&amp;L'!$B18,'P&amp;L assumptions'!E:E)</f>
        <v>-320.26</v>
      </c>
      <c r="F18" s="12">
        <f>SUMIF('P&amp;L assumptions'!$B:$B,'P&amp;L'!$B18,'P&amp;L assumptions'!F:F)</f>
        <v>0</v>
      </c>
      <c r="G18" s="26">
        <f>SUMIF('P&amp;L assumptions'!$B:$B,'P&amp;L'!$B18,'P&amp;L assumptions'!G:G)</f>
        <v>0</v>
      </c>
      <c r="H18" s="26">
        <f>SUMIF('P&amp;L assumptions'!$B:$B,'P&amp;L'!$B18,'P&amp;L assumptions'!H:H)</f>
        <v>0</v>
      </c>
      <c r="I18" s="26">
        <f>SUMIF('P&amp;L assumptions'!$B:$B,'P&amp;L'!$B18,'P&amp;L assumptions'!I:I)</f>
        <v>0</v>
      </c>
      <c r="J18" s="26">
        <f>SUMIF('P&amp;L assumptions'!$B:$B,'P&amp;L'!$B18,'P&amp;L assumptions'!J:J)</f>
        <v>0</v>
      </c>
      <c r="K18" s="26">
        <f>SUMIF('P&amp;L assumptions'!$B:$B,'P&amp;L'!$B18,'P&amp;L assumptions'!K:K)</f>
        <v>0</v>
      </c>
    </row>
    <row r="19" spans="2:11" ht="12" customHeight="1">
      <c r="B19" s="46" t="s">
        <v>19</v>
      </c>
      <c r="C19" s="47">
        <f>C15+C17+C18</f>
        <v>15825.63733333329</v>
      </c>
      <c r="D19" s="47">
        <f t="shared" ref="D19:K19" si="4">D15+D17+D18</f>
        <v>13508.936000000018</v>
      </c>
      <c r="E19" s="47">
        <f t="shared" si="4"/>
        <v>20146.033574602992</v>
      </c>
      <c r="F19" s="48">
        <f t="shared" si="4"/>
        <v>0</v>
      </c>
      <c r="G19" s="49">
        <f t="shared" si="4"/>
        <v>27425.392000000007</v>
      </c>
      <c r="H19" s="49">
        <f t="shared" si="4"/>
        <v>30175.823199999984</v>
      </c>
      <c r="I19" s="49">
        <f t="shared" si="4"/>
        <v>33201.29752</v>
      </c>
      <c r="J19" s="49">
        <f t="shared" si="4"/>
        <v>36529.319271999993</v>
      </c>
      <c r="K19" s="49">
        <f t="shared" si="4"/>
        <v>40190.143199200007</v>
      </c>
    </row>
    <row r="20" spans="2:11" ht="3.75" customHeight="1">
      <c r="C20" s="12"/>
      <c r="D20" s="12"/>
      <c r="E20" s="12"/>
      <c r="F20" s="12"/>
      <c r="G20" s="26"/>
      <c r="H20" s="26"/>
      <c r="I20" s="26"/>
      <c r="J20" s="26"/>
      <c r="K20" s="26"/>
    </row>
    <row r="21" spans="2:11">
      <c r="B21" s="6" t="s">
        <v>20</v>
      </c>
      <c r="C21" s="23">
        <f>C22/C19</f>
        <v>-0.24048168928931246</v>
      </c>
      <c r="D21" s="23">
        <f t="shared" ref="D21:E21" si="5">D22/D19</f>
        <v>-0.22579069143565386</v>
      </c>
      <c r="E21" s="23">
        <f t="shared" si="5"/>
        <v>-0.18936134430001206</v>
      </c>
      <c r="F21" s="12"/>
      <c r="G21" s="25">
        <f>'P&amp;L assumptions'!G52</f>
        <v>-0.18</v>
      </c>
      <c r="H21" s="25">
        <f>'P&amp;L assumptions'!H52</f>
        <v>-0.18</v>
      </c>
      <c r="I21" s="25">
        <f>'P&amp;L assumptions'!I52</f>
        <v>-0.18</v>
      </c>
      <c r="J21" s="25">
        <f>'P&amp;L assumptions'!J52</f>
        <v>-0.18</v>
      </c>
      <c r="K21" s="25">
        <f>'P&amp;L assumptions'!K52</f>
        <v>-0.18</v>
      </c>
    </row>
    <row r="22" spans="2:11">
      <c r="B22" s="6" t="s">
        <v>74</v>
      </c>
      <c r="C22" s="12">
        <f>'P&amp;L assumptions'!C51</f>
        <v>-3805.7759999999998</v>
      </c>
      <c r="D22" s="12">
        <f>'P&amp;L assumptions'!D51</f>
        <v>-3050.192</v>
      </c>
      <c r="E22" s="12">
        <f>'P&amp;L assumptions'!E51</f>
        <v>-3814.88</v>
      </c>
      <c r="F22" s="12"/>
      <c r="G22" s="26">
        <f>G21*G19</f>
        <v>-4936.570560000001</v>
      </c>
      <c r="H22" s="26">
        <f t="shared" ref="H22:K22" si="6">H21*H19</f>
        <v>-5431.648175999997</v>
      </c>
      <c r="I22" s="26">
        <f t="shared" si="6"/>
        <v>-5976.2335536000001</v>
      </c>
      <c r="J22" s="26">
        <f t="shared" si="6"/>
        <v>-6575.2774689599983</v>
      </c>
      <c r="K22" s="26">
        <f t="shared" si="6"/>
        <v>-7234.2257758560008</v>
      </c>
    </row>
    <row r="23" spans="2:11" ht="3.75" customHeight="1">
      <c r="C23" s="12"/>
      <c r="D23" s="12"/>
      <c r="E23" s="12"/>
      <c r="F23" s="12"/>
      <c r="G23" s="19"/>
      <c r="H23" s="19"/>
      <c r="I23" s="19"/>
      <c r="J23" s="19"/>
      <c r="K23" s="19"/>
    </row>
    <row r="24" spans="2:11">
      <c r="B24" s="44" t="s">
        <v>21</v>
      </c>
      <c r="C24" s="45">
        <f>C19+C21+C22</f>
        <v>12019.620851644002</v>
      </c>
      <c r="D24" s="45">
        <f>D19+D21+D22</f>
        <v>10458.518209308582</v>
      </c>
      <c r="E24" s="45">
        <f>E19+E21+E22</f>
        <v>16330.964213258692</v>
      </c>
      <c r="F24" s="45">
        <f>F19+F21+F22</f>
        <v>0</v>
      </c>
      <c r="G24" s="45">
        <f>G19+G21+G22</f>
        <v>22488.641440000007</v>
      </c>
      <c r="H24" s="45">
        <f t="shared" ref="H24:K24" si="7">H19+H21+H22</f>
        <v>24743.995023999989</v>
      </c>
      <c r="I24" s="45">
        <f t="shared" si="7"/>
        <v>27224.883966400001</v>
      </c>
      <c r="J24" s="45">
        <f t="shared" si="7"/>
        <v>29953.861803039996</v>
      </c>
      <c r="K24" s="45">
        <f t="shared" si="7"/>
        <v>32955.737423344006</v>
      </c>
    </row>
    <row r="25" spans="2:11">
      <c r="C25" s="12"/>
      <c r="D25" s="12"/>
      <c r="E25" s="12"/>
      <c r="F25" s="12"/>
    </row>
    <row r="26" spans="2:11">
      <c r="C26" s="12"/>
      <c r="D26" s="12"/>
      <c r="E26" s="12"/>
      <c r="F26" s="12"/>
    </row>
    <row r="27" spans="2:11">
      <c r="C27" s="12"/>
      <c r="D27" s="12"/>
      <c r="E27" s="12"/>
      <c r="F27" s="12"/>
    </row>
    <row r="28" spans="2:11">
      <c r="C28" s="12"/>
      <c r="D28" s="12"/>
      <c r="E28" s="12"/>
      <c r="F28" s="12"/>
      <c r="K28" s="6" t="s">
        <v>75</v>
      </c>
    </row>
    <row r="56" spans="2:2">
      <c r="B56" s="6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M26"/>
  <sheetViews>
    <sheetView tabSelected="1" workbookViewId="0">
      <selection activeCell="G16" sqref="G16"/>
    </sheetView>
  </sheetViews>
  <sheetFormatPr baseColWidth="10" defaultColWidth="9.1640625" defaultRowHeight="12"/>
  <cols>
    <col min="1" max="1" width="2" style="6" customWidth="1"/>
    <col min="2" max="2" width="22.6640625" style="6" bestFit="1" customWidth="1"/>
    <col min="3" max="3" width="9.1640625" style="6"/>
    <col min="4" max="4" width="9.5" style="6" bestFit="1" customWidth="1"/>
    <col min="5" max="5" width="9.1640625" style="6"/>
    <col min="6" max="6" width="2" style="6" customWidth="1"/>
    <col min="7" max="7" width="9.5" style="6" bestFit="1" customWidth="1"/>
    <col min="8" max="11" width="9.1640625" style="6"/>
    <col min="12" max="12" width="2" style="6" customWidth="1"/>
    <col min="13" max="16384" width="9.1640625" style="6"/>
  </cols>
  <sheetData>
    <row r="1" spans="2:13" ht="16">
      <c r="B1" s="5" t="s">
        <v>53</v>
      </c>
    </row>
    <row r="3" spans="2:13" ht="27" thickBot="1">
      <c r="B3" s="16" t="s">
        <v>47</v>
      </c>
      <c r="C3" s="17" t="s">
        <v>79</v>
      </c>
      <c r="D3" s="17" t="s">
        <v>80</v>
      </c>
      <c r="E3" s="17" t="s">
        <v>81</v>
      </c>
      <c r="F3" s="20"/>
      <c r="G3" s="18" t="s">
        <v>82</v>
      </c>
      <c r="H3" s="18" t="s">
        <v>83</v>
      </c>
      <c r="I3" s="18" t="s">
        <v>84</v>
      </c>
      <c r="J3" s="18" t="s">
        <v>85</v>
      </c>
      <c r="K3" s="18" t="s">
        <v>86</v>
      </c>
      <c r="M3" s="21" t="s">
        <v>52</v>
      </c>
    </row>
    <row r="4" spans="2:13">
      <c r="B4" s="6" t="s">
        <v>26</v>
      </c>
      <c r="C4" s="12">
        <f>'BS source'!D4</f>
        <v>5961.6</v>
      </c>
      <c r="D4" s="12">
        <f>'BS source'!E4</f>
        <v>5840</v>
      </c>
      <c r="E4" s="12">
        <f>'BS source'!F4</f>
        <v>5650</v>
      </c>
      <c r="G4" s="26">
        <f>$E$4</f>
        <v>5650</v>
      </c>
      <c r="H4" s="26">
        <f t="shared" ref="H4:K4" si="0">$E$4</f>
        <v>5650</v>
      </c>
      <c r="I4" s="26">
        <f t="shared" si="0"/>
        <v>5650</v>
      </c>
      <c r="J4" s="26">
        <f t="shared" si="0"/>
        <v>5650</v>
      </c>
      <c r="K4" s="26">
        <f t="shared" si="0"/>
        <v>5650</v>
      </c>
      <c r="M4" s="6" t="s">
        <v>113</v>
      </c>
    </row>
    <row r="5" spans="2:13">
      <c r="B5" s="6" t="s">
        <v>37</v>
      </c>
      <c r="C5" s="12">
        <f>SUMIF('BS assumptions'!$B:$B,BS!$B5,'BS assumptions'!C:C)</f>
        <v>45106.400000000001</v>
      </c>
      <c r="D5" s="12">
        <f>SUMIF('BS assumptions'!$B:$B,BS!$B5,'BS assumptions'!D:D)</f>
        <v>49072.4</v>
      </c>
      <c r="E5" s="12">
        <f>SUMIF('BS assumptions'!$B:$B,BS!$B5,'BS assumptions'!E:E)</f>
        <v>56109.2</v>
      </c>
      <c r="F5" s="6">
        <f>SUMIF('BS assumptions'!$B:$B,BS!$B5,'BS assumptions'!F:F)</f>
        <v>0</v>
      </c>
      <c r="G5" s="26">
        <f>SUMIF('BS assumptions'!$B:$B,BS!$B5,'BS assumptions'!G:G)</f>
        <v>59898.018769381182</v>
      </c>
      <c r="H5" s="26">
        <f>SUMIF('BS assumptions'!$B:$B,BS!$B5,'BS assumptions'!H:H)</f>
        <v>65887.820646319306</v>
      </c>
      <c r="I5" s="26">
        <f>SUMIF('BS assumptions'!$B:$B,BS!$B5,'BS assumptions'!I:I)</f>
        <v>72476.602710951251</v>
      </c>
      <c r="J5" s="26">
        <f>SUMIF('BS assumptions'!$B:$B,BS!$B5,'BS assumptions'!J:J)</f>
        <v>79724.262982046392</v>
      </c>
      <c r="K5" s="26">
        <f>SUMIF('BS assumptions'!$B:$B,BS!$B5,'BS assumptions'!K:K)</f>
        <v>87696.689280251027</v>
      </c>
    </row>
    <row r="6" spans="2:13">
      <c r="B6" s="6" t="s">
        <v>46</v>
      </c>
      <c r="C6" s="12">
        <f>'BS source'!D6</f>
        <v>8824</v>
      </c>
      <c r="D6" s="12">
        <f>'BS source'!E6</f>
        <v>9831</v>
      </c>
      <c r="E6" s="12">
        <f>'BS source'!F6</f>
        <v>10323</v>
      </c>
      <c r="G6" s="26">
        <f>$E$6</f>
        <v>10323</v>
      </c>
      <c r="H6" s="26">
        <f t="shared" ref="H6:K6" si="1">$E$6</f>
        <v>10323</v>
      </c>
      <c r="I6" s="26">
        <f t="shared" si="1"/>
        <v>10323</v>
      </c>
      <c r="J6" s="26">
        <f t="shared" si="1"/>
        <v>10323</v>
      </c>
      <c r="K6" s="26">
        <f t="shared" si="1"/>
        <v>10323</v>
      </c>
      <c r="M6" s="6" t="s">
        <v>113</v>
      </c>
    </row>
    <row r="7" spans="2:13" ht="3.75" customHeight="1">
      <c r="C7" s="12"/>
      <c r="D7" s="12"/>
      <c r="E7" s="12"/>
      <c r="G7" s="26"/>
      <c r="H7" s="26"/>
      <c r="I7" s="26"/>
      <c r="J7" s="26"/>
      <c r="K7" s="26"/>
    </row>
    <row r="8" spans="2:13">
      <c r="B8" s="6" t="s">
        <v>29</v>
      </c>
      <c r="C8" s="12">
        <f>SUMIF('BS assumptions'!$B:$B,BS!$B8,'BS assumptions'!C:C)</f>
        <v>31167.200000000001</v>
      </c>
      <c r="D8" s="12">
        <f>SUMIF('BS assumptions'!$B:$B,BS!$B8,'BS assumptions'!D:D)</f>
        <v>36396.800000000003</v>
      </c>
      <c r="E8" s="12">
        <f>SUMIF('BS assumptions'!$B:$B,BS!$B8,'BS assumptions'!E:E)</f>
        <v>46212</v>
      </c>
      <c r="F8" s="6">
        <f>SUMIF('BS assumptions'!$B:$B,BS!$B8,'BS assumptions'!F:F)</f>
        <v>0</v>
      </c>
      <c r="G8" s="26">
        <f>SUMIF('BS assumptions'!$B:$B,BS!$B8,'BS assumptions'!G:G)</f>
        <v>51102.670511975753</v>
      </c>
      <c r="H8" s="26">
        <f>SUMIF('BS assumptions'!$B:$B,BS!$B8,'BS assumptions'!H:H)</f>
        <v>56212.937563173342</v>
      </c>
      <c r="I8" s="26">
        <f>SUMIF('BS assumptions'!$B:$B,BS!$B8,'BS assumptions'!I:I)</f>
        <v>61834.231319490689</v>
      </c>
      <c r="J8" s="26">
        <f>SUMIF('BS assumptions'!$B:$B,BS!$B8,'BS assumptions'!J:J)</f>
        <v>68017.654451439768</v>
      </c>
      <c r="K8" s="26">
        <f>SUMIF('BS assumptions'!$B:$B,BS!$B8,'BS assumptions'!K:K)</f>
        <v>74819.419896583742</v>
      </c>
    </row>
    <row r="9" spans="2:13">
      <c r="B9" s="6" t="s">
        <v>71</v>
      </c>
      <c r="C9" s="12">
        <f>SUMIF('BS assumptions'!$B:$B,BS!$B9,'BS assumptions'!C:C)</f>
        <v>32883.599999999999</v>
      </c>
      <c r="D9" s="12">
        <f>SUMIF('BS assumptions'!$B:$B,BS!$B9,'BS assumptions'!D:D)</f>
        <v>38556</v>
      </c>
      <c r="E9" s="12">
        <f>SUMIF('BS assumptions'!$B:$B,BS!$B9,'BS assumptions'!E:E)</f>
        <v>43581.599999999999</v>
      </c>
      <c r="F9" s="6">
        <f>SUMIF('BS assumptions'!$B:$B,BS!$B9,'BS assumptions'!F:F)</f>
        <v>0</v>
      </c>
      <c r="G9" s="26">
        <f>SUMIF('BS assumptions'!$B:$B,BS!$B9,'BS assumptions'!G:G)</f>
        <v>47939.759999999995</v>
      </c>
      <c r="H9" s="26">
        <f>SUMIF('BS assumptions'!$B:$B,BS!$B9,'BS assumptions'!H:H)</f>
        <v>52733.736000000004</v>
      </c>
      <c r="I9" s="26">
        <f>SUMIF('BS assumptions'!$B:$B,BS!$B9,'BS assumptions'!I:I)</f>
        <v>58007.109600000011</v>
      </c>
      <c r="J9" s="26">
        <f>SUMIF('BS assumptions'!$B:$B,BS!$B9,'BS assumptions'!J:J)</f>
        <v>63807.820560000022</v>
      </c>
      <c r="K9" s="26">
        <f>SUMIF('BS assumptions'!$B:$B,BS!$B9,'BS assumptions'!K:K)</f>
        <v>70188.602616000018</v>
      </c>
    </row>
    <row r="10" spans="2:13">
      <c r="B10" s="6" t="s">
        <v>28</v>
      </c>
      <c r="C10" s="12">
        <f>SUMIF('BS assumptions'!$B:$B,BS!$B10,'BS assumptions'!C:C)</f>
        <v>8841.6</v>
      </c>
      <c r="D10" s="12">
        <f>SUMIF('BS assumptions'!$B:$B,BS!$B10,'BS assumptions'!D:D)</f>
        <v>11359.199999999999</v>
      </c>
      <c r="E10" s="12">
        <f>SUMIF('BS assumptions'!$B:$B,BS!$B10,'BS assumptions'!E:E)</f>
        <v>17602.8</v>
      </c>
      <c r="F10" s="6">
        <f>SUMIF('BS assumptions'!$B:$B,BS!$B10,'BS assumptions'!F:F)</f>
        <v>0</v>
      </c>
      <c r="G10" s="26">
        <f>SUMIF('BS assumptions'!$B:$B,BS!$B10,'BS assumptions'!G:G)</f>
        <v>14867.518484339287</v>
      </c>
      <c r="H10" s="26">
        <f>SUMIF('BS assumptions'!$B:$B,BS!$B10,'BS assumptions'!H:H)</f>
        <v>16354.270332773216</v>
      </c>
      <c r="I10" s="26">
        <f>SUMIF('BS assumptions'!$B:$B,BS!$B10,'BS assumptions'!I:I)</f>
        <v>17989.697366050543</v>
      </c>
      <c r="J10" s="26">
        <f>SUMIF('BS assumptions'!$B:$B,BS!$B10,'BS assumptions'!J:J)</f>
        <v>19788.6671026556</v>
      </c>
      <c r="K10" s="26">
        <f>SUMIF('BS assumptions'!$B:$B,BS!$B10,'BS assumptions'!K:K)</f>
        <v>21767.53381292116</v>
      </c>
    </row>
    <row r="11" spans="2:13" ht="3.75" customHeight="1">
      <c r="C11" s="12"/>
      <c r="D11" s="12"/>
      <c r="E11" s="12"/>
      <c r="G11" s="26"/>
      <c r="H11" s="26"/>
      <c r="I11" s="26"/>
      <c r="J11" s="26"/>
      <c r="K11" s="26"/>
    </row>
    <row r="12" spans="2:13">
      <c r="B12" s="6" t="s">
        <v>30</v>
      </c>
      <c r="C12" s="12">
        <f>'BS source'!D14</f>
        <v>11791.199999999999</v>
      </c>
      <c r="D12" s="12">
        <f>'BS source'!E14</f>
        <v>19408.8</v>
      </c>
      <c r="E12" s="12">
        <f>'BS source'!F14</f>
        <v>8173.6</v>
      </c>
      <c r="G12" s="26"/>
      <c r="H12" s="26"/>
      <c r="I12" s="26"/>
      <c r="J12" s="26"/>
      <c r="K12" s="26"/>
    </row>
    <row r="13" spans="2:13" ht="3.75" customHeight="1">
      <c r="G13" s="26"/>
      <c r="H13" s="26"/>
      <c r="I13" s="26"/>
      <c r="J13" s="26"/>
      <c r="K13" s="26"/>
    </row>
    <row r="14" spans="2:13" ht="13" thickBot="1">
      <c r="B14" s="50" t="s">
        <v>31</v>
      </c>
      <c r="C14" s="51">
        <f>SUM(C4:C12)</f>
        <v>144575.6</v>
      </c>
      <c r="D14" s="51">
        <f t="shared" ref="D14:K14" si="2">SUM(D4:D12)</f>
        <v>170464.2</v>
      </c>
      <c r="E14" s="51">
        <f t="shared" si="2"/>
        <v>187652.19999999998</v>
      </c>
      <c r="F14" s="52"/>
      <c r="G14" s="53">
        <f t="shared" si="2"/>
        <v>189780.96776569623</v>
      </c>
      <c r="H14" s="53">
        <f t="shared" si="2"/>
        <v>207161.76454226588</v>
      </c>
      <c r="I14" s="53">
        <f t="shared" si="2"/>
        <v>226280.6409964925</v>
      </c>
      <c r="J14" s="53">
        <f t="shared" si="2"/>
        <v>247311.40509614177</v>
      </c>
      <c r="K14" s="53">
        <f t="shared" si="2"/>
        <v>270445.24560575595</v>
      </c>
    </row>
    <row r="15" spans="2:13">
      <c r="C15" s="12"/>
      <c r="D15" s="12"/>
      <c r="E15" s="12"/>
      <c r="F15" s="12"/>
      <c r="G15" s="26"/>
      <c r="H15" s="26"/>
      <c r="I15" s="26"/>
      <c r="J15" s="26"/>
      <c r="K15" s="26"/>
    </row>
    <row r="16" spans="2:13">
      <c r="B16" s="6" t="s">
        <v>109</v>
      </c>
      <c r="C16" s="12">
        <f>SUMIF('BS assumptions'!$B:$B,BS!$B16,'BS assumptions'!C:C)</f>
        <v>15891.2</v>
      </c>
      <c r="D16" s="12">
        <f>SUMIF('BS assumptions'!$B:$B,BS!$B16,'BS assumptions'!D:D)</f>
        <v>26351.599999999999</v>
      </c>
      <c r="E16" s="12">
        <f>SUMIF('BS assumptions'!$B:$B,BS!$B16,'BS assumptions'!E:E)</f>
        <v>36189.599999999999</v>
      </c>
      <c r="F16" s="12">
        <f>SUMIF('BS assumptions'!$B:$B,BS!$B16,'BS assumptions'!F:F)</f>
        <v>0</v>
      </c>
      <c r="G16" s="26">
        <f>SUMIF('BS assumptions'!$B:$B,BS!$B16,'BS assumptions'!G:G)</f>
        <v>40019.588088812387</v>
      </c>
      <c r="H16" s="26">
        <f>SUMIF('BS assumptions'!$B:$B,BS!$B16,'BS assumptions'!H:H)</f>
        <v>44021.546897693624</v>
      </c>
      <c r="I16" s="26">
        <f>SUMIF('BS assumptions'!$B:$B,BS!$B16,'BS assumptions'!I:I)</f>
        <v>48423.701587462994</v>
      </c>
      <c r="J16" s="26">
        <f>SUMIF('BS assumptions'!$B:$B,BS!$B16,'BS assumptions'!J:J)</f>
        <v>53266.071746209302</v>
      </c>
      <c r="K16" s="26">
        <f>SUMIF('BS assumptions'!$B:$B,BS!$B16,'BS assumptions'!K:K)</f>
        <v>58592.678920830236</v>
      </c>
    </row>
    <row r="17" spans="2:13">
      <c r="B17" s="6" t="s">
        <v>39</v>
      </c>
      <c r="C17" s="12">
        <f>SUMIF('BS assumptions'!$B:$B,BS!$B17,'BS assumptions'!C:C)</f>
        <v>5969.0386666666891</v>
      </c>
      <c r="D17" s="12">
        <f>SUMIF('BS assumptions'!$B:$B,BS!$B17,'BS assumptions'!D:D)</f>
        <v>5800.3560000000052</v>
      </c>
      <c r="E17" s="12">
        <f>SUMIF('BS assumptions'!$B:$B,BS!$B17,'BS assumptions'!E:E)</f>
        <v>8473.4464253970418</v>
      </c>
      <c r="F17" s="12">
        <f>SUMIF('BS assumptions'!$B:$B,BS!$B17,'BS assumptions'!F:F)</f>
        <v>0</v>
      </c>
      <c r="G17" s="26">
        <f>SUMIF('BS assumptions'!$B:$B,BS!$B17,'BS assumptions'!G:G)</f>
        <v>8029.9438439337491</v>
      </c>
      <c r="H17" s="26">
        <f>SUMIF('BS assumptions'!$B:$B,BS!$B17,'BS assumptions'!H:H)</f>
        <v>8832.9382283271243</v>
      </c>
      <c r="I17" s="26">
        <f>SUMIF('BS assumptions'!$B:$B,BS!$B17,'BS assumptions'!I:I)</f>
        <v>9716.2320511598391</v>
      </c>
      <c r="J17" s="26">
        <f>SUMIF('BS assumptions'!$B:$B,BS!$B17,'BS assumptions'!J:J)</f>
        <v>10687.855256275825</v>
      </c>
      <c r="K17" s="26">
        <f>SUMIF('BS assumptions'!$B:$B,BS!$B17,'BS assumptions'!K:K)</f>
        <v>11756.640781903407</v>
      </c>
    </row>
    <row r="18" spans="2:13" ht="3.75" customHeight="1">
      <c r="C18" s="12">
        <f>SUMIF('BS assumptions'!$B:$B,BS!$B18,'BS assumptions'!C:C)</f>
        <v>0</v>
      </c>
      <c r="D18" s="12">
        <f>SUMIF('BS assumptions'!$B:$B,BS!$B18,'BS assumptions'!D:D)</f>
        <v>0</v>
      </c>
      <c r="E18" s="12">
        <f>SUMIF('BS assumptions'!$B:$B,BS!$B18,'BS assumptions'!E:E)</f>
        <v>0</v>
      </c>
      <c r="F18" s="12">
        <f>SUMIF('BS assumptions'!$B:$B,BS!$B18,'BS assumptions'!F:F)</f>
        <v>0</v>
      </c>
      <c r="G18" s="26">
        <f>SUMIF('BS assumptions'!$B:$B,BS!$B18,'BS assumptions'!G:G)</f>
        <v>0</v>
      </c>
      <c r="H18" s="26">
        <f>SUMIF('BS assumptions'!$B:$B,BS!$B18,'BS assumptions'!H:H)</f>
        <v>0</v>
      </c>
      <c r="I18" s="26">
        <f>SUMIF('BS assumptions'!$B:$B,BS!$B18,'BS assumptions'!I:I)</f>
        <v>0</v>
      </c>
      <c r="J18" s="26">
        <f>SUMIF('BS assumptions'!$B:$B,BS!$B18,'BS assumptions'!J:J)</f>
        <v>0</v>
      </c>
      <c r="K18" s="26">
        <f>SUMIF('BS assumptions'!$B:$B,BS!$B18,'BS assumptions'!K:K)</f>
        <v>0</v>
      </c>
    </row>
    <row r="19" spans="2:13">
      <c r="B19" s="6" t="s">
        <v>76</v>
      </c>
      <c r="C19" s="12">
        <f>'BS source'!J15+'BS source'!J16</f>
        <v>41293.000000000007</v>
      </c>
      <c r="D19" s="12">
        <f>'BS source'!K15+'BS source'!K16</f>
        <v>50645.4</v>
      </c>
      <c r="E19" s="12">
        <f>'BS source'!L15+'BS source'!L16</f>
        <v>51120.799999999996</v>
      </c>
      <c r="F19" s="12"/>
      <c r="G19" s="26">
        <f>$E$19</f>
        <v>51120.799999999996</v>
      </c>
      <c r="H19" s="26">
        <f t="shared" ref="H19:K19" si="3">$E$19</f>
        <v>51120.799999999996</v>
      </c>
      <c r="I19" s="26">
        <f t="shared" si="3"/>
        <v>51120.799999999996</v>
      </c>
      <c r="J19" s="26">
        <f t="shared" si="3"/>
        <v>51120.799999999996</v>
      </c>
      <c r="K19" s="26">
        <f t="shared" si="3"/>
        <v>51120.799999999996</v>
      </c>
      <c r="M19" s="6" t="s">
        <v>113</v>
      </c>
    </row>
    <row r="20" spans="2:13" ht="3.75" customHeight="1">
      <c r="C20" s="12"/>
      <c r="D20" s="12"/>
      <c r="E20" s="12"/>
      <c r="F20" s="12"/>
      <c r="G20" s="26"/>
      <c r="H20" s="26"/>
      <c r="I20" s="26"/>
      <c r="J20" s="26"/>
      <c r="K20" s="26"/>
    </row>
    <row r="21" spans="2:13">
      <c r="B21" s="6" t="s">
        <v>77</v>
      </c>
      <c r="C21" s="12">
        <f>'BS source'!J8</f>
        <v>81422.361333333276</v>
      </c>
      <c r="D21" s="12">
        <f>'BS source'!K8</f>
        <v>87666.844000000026</v>
      </c>
      <c r="E21" s="12">
        <f>'BS source'!L8</f>
        <v>91868.353574602996</v>
      </c>
      <c r="F21" s="12"/>
      <c r="G21" s="26">
        <f>E21+'P&amp;L'!G24</f>
        <v>114356.995014603</v>
      </c>
      <c r="H21" s="26">
        <f>G21+'P&amp;L'!H24</f>
        <v>139100.99003860299</v>
      </c>
      <c r="I21" s="26">
        <f>H21+'P&amp;L'!I24</f>
        <v>166325.87400500299</v>
      </c>
      <c r="J21" s="26">
        <f>I21+'P&amp;L'!J24</f>
        <v>196279.73580804298</v>
      </c>
      <c r="K21" s="26">
        <f>J21+'P&amp;L'!K24</f>
        <v>229235.47323138698</v>
      </c>
    </row>
    <row r="22" spans="2:13" ht="3.75" customHeight="1">
      <c r="C22" s="12"/>
      <c r="D22" s="12"/>
      <c r="E22" s="12"/>
      <c r="F22" s="12"/>
      <c r="G22" s="26"/>
      <c r="H22" s="26"/>
      <c r="I22" s="26"/>
      <c r="J22" s="26"/>
      <c r="K22" s="26"/>
    </row>
    <row r="23" spans="2:13" ht="13" thickBot="1">
      <c r="B23" s="50" t="s">
        <v>78</v>
      </c>
      <c r="C23" s="51">
        <f>SUM(C16:C21)</f>
        <v>144575.59999999998</v>
      </c>
      <c r="D23" s="51">
        <f t="shared" ref="D23:K23" si="4">SUM(D16:D21)</f>
        <v>170464.2</v>
      </c>
      <c r="E23" s="51">
        <f t="shared" si="4"/>
        <v>187652.2</v>
      </c>
      <c r="F23" s="52"/>
      <c r="G23" s="53">
        <f>SUM(G16:G21)</f>
        <v>213527.32694734912</v>
      </c>
      <c r="H23" s="53">
        <f t="shared" si="4"/>
        <v>243076.27516462374</v>
      </c>
      <c r="I23" s="53">
        <f t="shared" si="4"/>
        <v>275586.60764362582</v>
      </c>
      <c r="J23" s="53">
        <f t="shared" si="4"/>
        <v>311354.46281052812</v>
      </c>
      <c r="K23" s="53">
        <f t="shared" si="4"/>
        <v>350705.59293412062</v>
      </c>
    </row>
    <row r="24" spans="2:13">
      <c r="G24" s="12"/>
      <c r="H24" s="12"/>
      <c r="I24" s="12"/>
      <c r="J24" s="12"/>
      <c r="K24" s="12"/>
    </row>
    <row r="25" spans="2:13">
      <c r="B25" s="6" t="s">
        <v>112</v>
      </c>
      <c r="C25" s="6">
        <f>C14-C23</f>
        <v>0</v>
      </c>
      <c r="D25" s="6">
        <f t="shared" ref="D25:E25" si="5">D14-D23</f>
        <v>0</v>
      </c>
      <c r="E25" s="6">
        <f t="shared" si="5"/>
        <v>0</v>
      </c>
      <c r="G25" s="12"/>
      <c r="H25" s="12"/>
      <c r="I25" s="12"/>
      <c r="J25" s="12"/>
      <c r="K25" s="12"/>
    </row>
    <row r="26" spans="2:13">
      <c r="G26" s="12"/>
      <c r="H26" s="12"/>
      <c r="I26" s="12"/>
      <c r="J26" s="12"/>
      <c r="K26" s="12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M3"/>
  <sheetViews>
    <sheetView workbookViewId="0"/>
  </sheetViews>
  <sheetFormatPr baseColWidth="10" defaultColWidth="9.1640625" defaultRowHeight="12"/>
  <cols>
    <col min="1" max="1" width="2" style="10" customWidth="1"/>
    <col min="2" max="2" width="31.5" style="10" bestFit="1" customWidth="1"/>
    <col min="3" max="3" width="9.1640625" style="10" customWidth="1"/>
    <col min="4" max="4" width="9.5" style="10" bestFit="1" customWidth="1"/>
    <col min="5" max="5" width="9.1640625" style="10"/>
    <col min="6" max="6" width="2" style="10" customWidth="1"/>
    <col min="7" max="11" width="9.1640625" style="10"/>
    <col min="12" max="12" width="2" style="10" customWidth="1"/>
    <col min="13" max="16384" width="9.1640625" style="10"/>
  </cols>
  <sheetData>
    <row r="1" spans="2:13" ht="16">
      <c r="B1" s="11" t="s">
        <v>25</v>
      </c>
      <c r="C1" s="11"/>
    </row>
    <row r="2" spans="2:13">
      <c r="B2" s="10" t="s">
        <v>66</v>
      </c>
    </row>
    <row r="3" spans="2:13" ht="27" thickBot="1">
      <c r="B3" s="16" t="s">
        <v>47</v>
      </c>
      <c r="C3" s="17"/>
      <c r="D3" s="17" t="s">
        <v>80</v>
      </c>
      <c r="E3" s="17" t="s">
        <v>81</v>
      </c>
      <c r="F3" s="20"/>
      <c r="G3" s="18" t="s">
        <v>82</v>
      </c>
      <c r="H3" s="18" t="s">
        <v>83</v>
      </c>
      <c r="I3" s="18" t="s">
        <v>84</v>
      </c>
      <c r="J3" s="18" t="s">
        <v>85</v>
      </c>
      <c r="K3" s="18" t="s">
        <v>86</v>
      </c>
      <c r="L3" s="6"/>
      <c r="M3" s="21" t="s">
        <v>52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M4"/>
  <sheetViews>
    <sheetView workbookViewId="0"/>
  </sheetViews>
  <sheetFormatPr baseColWidth="10" defaultColWidth="9.1640625" defaultRowHeight="12"/>
  <cols>
    <col min="1" max="1" width="2" style="6" customWidth="1"/>
    <col min="2" max="2" width="22.6640625" style="6" customWidth="1"/>
    <col min="3" max="3" width="10" style="6" bestFit="1" customWidth="1"/>
    <col min="4" max="4" width="9.1640625" style="6"/>
    <col min="5" max="5" width="11.5" style="6" bestFit="1" customWidth="1"/>
    <col min="6" max="6" width="2" style="6" customWidth="1"/>
    <col min="7" max="7" width="10" style="6" bestFit="1" customWidth="1"/>
    <col min="8" max="11" width="9.1640625" style="6"/>
    <col min="12" max="12" width="2" style="6" customWidth="1"/>
    <col min="13" max="16384" width="9.1640625" style="6"/>
  </cols>
  <sheetData>
    <row r="1" spans="2:13" ht="16">
      <c r="B1" s="5" t="s">
        <v>4</v>
      </c>
    </row>
    <row r="4" spans="2:13" ht="27" thickBot="1">
      <c r="B4" s="16" t="s">
        <v>47</v>
      </c>
      <c r="C4" s="17" t="s">
        <v>79</v>
      </c>
      <c r="D4" s="17" t="s">
        <v>80</v>
      </c>
      <c r="E4" s="17" t="s">
        <v>81</v>
      </c>
      <c r="F4" s="20"/>
      <c r="G4" s="18" t="s">
        <v>82</v>
      </c>
      <c r="H4" s="18" t="s">
        <v>83</v>
      </c>
      <c r="I4" s="18" t="s">
        <v>84</v>
      </c>
      <c r="J4" s="18" t="s">
        <v>85</v>
      </c>
      <c r="K4" s="18" t="s">
        <v>86</v>
      </c>
      <c r="M4" s="21" t="s">
        <v>52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E11"/>
  <sheetViews>
    <sheetView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5" ht="16">
      <c r="B1" s="2"/>
    </row>
    <row r="11" spans="2:5" ht="49">
      <c r="B11" s="54" t="s">
        <v>63</v>
      </c>
      <c r="C11" s="55"/>
      <c r="D11" s="55"/>
      <c r="E11" s="55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2" width="24.1640625" style="1" bestFit="1" customWidth="1"/>
    <col min="3" max="5" width="9.1640625" style="1"/>
    <col min="6" max="6" width="2" style="1" customWidth="1"/>
    <col min="7" max="16384" width="9.1640625" style="1"/>
  </cols>
  <sheetData>
    <row r="1" spans="2:2" ht="16">
      <c r="B1" s="2" t="s">
        <v>54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2" width="19.5" style="1" bestFit="1" customWidth="1"/>
    <col min="3" max="16384" width="9.1640625" style="1"/>
  </cols>
  <sheetData>
    <row r="1" spans="2:2" ht="16">
      <c r="B1" s="2" t="s">
        <v>55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 t="s">
        <v>59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2" width="18.5" style="1" bestFit="1" customWidth="1"/>
    <col min="3" max="5" width="9.1640625" style="1"/>
    <col min="6" max="6" width="2" style="1" customWidth="1"/>
    <col min="7" max="16384" width="9.1640625" style="1"/>
  </cols>
  <sheetData>
    <row r="1" spans="2:2" ht="16">
      <c r="B1" s="2" t="s">
        <v>60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2" width="19.1640625" style="1" bestFit="1" customWidth="1"/>
    <col min="3" max="6" width="9.1640625" style="1"/>
    <col min="7" max="7" width="19.1640625" style="1" bestFit="1" customWidth="1"/>
    <col min="8" max="12" width="9.1640625" style="1"/>
    <col min="13" max="13" width="19.1640625" style="1" bestFit="1" customWidth="1"/>
    <col min="14" max="16384" width="9.1640625" style="1"/>
  </cols>
  <sheetData>
    <row r="1" spans="2:2" ht="16">
      <c r="B1" s="2" t="s">
        <v>61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002060"/>
  </sheetPr>
  <dimension ref="B1:B11"/>
  <sheetViews>
    <sheetView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9">
      <c r="B11" s="54" t="s">
        <v>64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M27"/>
  <sheetViews>
    <sheetView zoomScaleNormal="100" workbookViewId="0">
      <selection activeCell="D23" sqref="D23"/>
    </sheetView>
  </sheetViews>
  <sheetFormatPr baseColWidth="10" defaultColWidth="9.1640625" defaultRowHeight="12"/>
  <cols>
    <col min="1" max="1" width="2" style="6" customWidth="1"/>
    <col min="2" max="2" width="27.83203125" style="6" bestFit="1" customWidth="1"/>
    <col min="3" max="3" width="9.1640625" style="6"/>
    <col min="4" max="6" width="10.5" style="6" bestFit="1" customWidth="1"/>
    <col min="7" max="16384" width="9.1640625" style="6"/>
  </cols>
  <sheetData>
    <row r="1" spans="2:13" ht="16">
      <c r="B1" s="5" t="s">
        <v>1</v>
      </c>
    </row>
    <row r="3" spans="2:13" ht="26">
      <c r="B3" s="7" t="s">
        <v>48</v>
      </c>
      <c r="C3" s="7"/>
      <c r="D3" s="8" t="s">
        <v>87</v>
      </c>
      <c r="E3" s="8" t="s">
        <v>88</v>
      </c>
      <c r="F3" s="8" t="s">
        <v>89</v>
      </c>
    </row>
    <row r="4" spans="2:13">
      <c r="B4" s="6" t="s">
        <v>7</v>
      </c>
      <c r="D4" s="12">
        <v>177203</v>
      </c>
      <c r="E4" s="12">
        <v>188618</v>
      </c>
      <c r="F4" s="12">
        <v>208366</v>
      </c>
    </row>
    <row r="5" spans="2:13">
      <c r="B5" s="6" t="s">
        <v>8</v>
      </c>
      <c r="D5" s="12">
        <v>3520</v>
      </c>
      <c r="E5" s="12">
        <v>2416</v>
      </c>
      <c r="F5" s="12">
        <v>2585</v>
      </c>
      <c r="J5" s="41"/>
      <c r="K5" s="41"/>
      <c r="L5" s="41"/>
      <c r="M5" s="41"/>
    </row>
    <row r="6" spans="2:13">
      <c r="B6" s="30" t="s">
        <v>9</v>
      </c>
      <c r="C6" s="30"/>
      <c r="D6" s="31">
        <f>D4+D5</f>
        <v>180723</v>
      </c>
      <c r="E6" s="31">
        <f>E4+E5</f>
        <v>191034</v>
      </c>
      <c r="F6" s="31">
        <f>F4+F5</f>
        <v>210951</v>
      </c>
    </row>
    <row r="7" spans="2:13">
      <c r="D7" s="12"/>
      <c r="E7" s="12"/>
      <c r="F7" s="12"/>
    </row>
    <row r="8" spans="2:13">
      <c r="B8" s="6" t="s">
        <v>10</v>
      </c>
      <c r="D8" s="12">
        <v>-139903.0394666667</v>
      </c>
      <c r="E8" s="12">
        <v>-138922.98879999999</v>
      </c>
      <c r="F8" s="12">
        <v>-150080.46882539699</v>
      </c>
    </row>
    <row r="9" spans="2:13">
      <c r="B9" s="6" t="s">
        <v>65</v>
      </c>
      <c r="D9" s="12">
        <v>-2491.3280000000004</v>
      </c>
      <c r="E9" s="12">
        <v>-11649.177600000001</v>
      </c>
      <c r="F9" s="12">
        <v>-7442.6495999999997</v>
      </c>
    </row>
    <row r="10" spans="2:13">
      <c r="B10" s="6" t="s">
        <v>11</v>
      </c>
      <c r="D10" s="12">
        <v>-16389.593600000004</v>
      </c>
      <c r="E10" s="12">
        <v>-17878.310399999998</v>
      </c>
      <c r="F10" s="12">
        <v>-22293.312000000005</v>
      </c>
    </row>
    <row r="11" spans="2:13">
      <c r="B11" s="6" t="s">
        <v>12</v>
      </c>
      <c r="D11" s="12">
        <v>-290.72640000000007</v>
      </c>
      <c r="E11" s="12">
        <v>-246.13120000000004</v>
      </c>
      <c r="F11" s="12">
        <v>-120.92160000000001</v>
      </c>
    </row>
    <row r="12" spans="2:13">
      <c r="B12" s="6" t="s">
        <v>13</v>
      </c>
      <c r="D12" s="12">
        <v>-1330.9952000000003</v>
      </c>
      <c r="E12" s="12">
        <v>-1123.4560000000001</v>
      </c>
      <c r="F12" s="12">
        <v>-1452.7744000000002</v>
      </c>
    </row>
    <row r="13" spans="2:13">
      <c r="D13" s="12"/>
      <c r="E13" s="12"/>
      <c r="F13" s="12"/>
    </row>
    <row r="14" spans="2:13">
      <c r="B14" s="30" t="s">
        <v>14</v>
      </c>
      <c r="C14" s="30"/>
      <c r="D14" s="31">
        <f>D6+SUM(D8:D12)</f>
        <v>20317.317333333282</v>
      </c>
      <c r="E14" s="31">
        <f>E6+SUM(E8:E12)</f>
        <v>21213.936000000016</v>
      </c>
      <c r="F14" s="31">
        <f>F6+SUM(F8:F12)</f>
        <v>29560.873574603</v>
      </c>
    </row>
    <row r="15" spans="2:13">
      <c r="D15" s="12"/>
      <c r="E15" s="12"/>
      <c r="F15" s="12"/>
    </row>
    <row r="16" spans="2:13">
      <c r="B16" s="6" t="s">
        <v>15</v>
      </c>
      <c r="D16" s="12">
        <v>-2907.8000000000006</v>
      </c>
      <c r="E16" s="12">
        <v>-4649.8</v>
      </c>
      <c r="F16" s="12">
        <v>-6430.6600000000008</v>
      </c>
    </row>
    <row r="17" spans="2:6">
      <c r="D17" s="12"/>
      <c r="E17" s="12"/>
      <c r="F17" s="12"/>
    </row>
    <row r="18" spans="2:6">
      <c r="B18" s="30" t="s">
        <v>16</v>
      </c>
      <c r="C18" s="30"/>
      <c r="D18" s="31">
        <f>D14+D16</f>
        <v>17409.517333333282</v>
      </c>
      <c r="E18" s="31">
        <f>E14+E16</f>
        <v>16564.136000000017</v>
      </c>
      <c r="F18" s="31">
        <f>F14+F16</f>
        <v>23130.213574603</v>
      </c>
    </row>
    <row r="19" spans="2:6">
      <c r="D19" s="12"/>
      <c r="E19" s="12"/>
      <c r="F19" s="12"/>
    </row>
    <row r="20" spans="2:6">
      <c r="B20" s="6" t="s">
        <v>17</v>
      </c>
      <c r="D20" s="12">
        <v>-1266.3000000000002</v>
      </c>
      <c r="E20" s="12">
        <v>-2190.9</v>
      </c>
      <c r="F20" s="12">
        <v>-2663.92</v>
      </c>
    </row>
    <row r="21" spans="2:6">
      <c r="B21" s="6" t="s">
        <v>18</v>
      </c>
      <c r="D21" s="12">
        <v>-317.58000000000004</v>
      </c>
      <c r="E21" s="12">
        <v>-864.30000000000007</v>
      </c>
      <c r="F21" s="12">
        <v>-320.26</v>
      </c>
    </row>
    <row r="22" spans="2:6">
      <c r="D22" s="12"/>
      <c r="E22" s="12"/>
      <c r="F22" s="12"/>
    </row>
    <row r="23" spans="2:6">
      <c r="B23" s="30" t="s">
        <v>19</v>
      </c>
      <c r="C23" s="30"/>
      <c r="D23" s="31">
        <f>D18+D21+D20</f>
        <v>15825.637333333281</v>
      </c>
      <c r="E23" s="31">
        <f>E18+E21+E20</f>
        <v>13508.936000000018</v>
      </c>
      <c r="F23" s="31">
        <f>F18+F21+F20</f>
        <v>20146.033574603003</v>
      </c>
    </row>
    <row r="24" spans="2:6">
      <c r="D24" s="12"/>
      <c r="E24" s="12"/>
      <c r="F24" s="12"/>
    </row>
    <row r="25" spans="2:6">
      <c r="B25" s="6" t="s">
        <v>20</v>
      </c>
      <c r="D25" s="12">
        <v>-3805.7759999999998</v>
      </c>
      <c r="E25" s="12">
        <v>-3050.192</v>
      </c>
      <c r="F25" s="12">
        <v>-3814.88</v>
      </c>
    </row>
    <row r="26" spans="2:6">
      <c r="D26" s="12"/>
      <c r="E26" s="12"/>
      <c r="F26" s="12"/>
    </row>
    <row r="27" spans="2:6" ht="13" thickBot="1">
      <c r="B27" s="9" t="s">
        <v>21</v>
      </c>
      <c r="C27" s="9"/>
      <c r="D27" s="13">
        <f>D23+D25</f>
        <v>12019.861333333281</v>
      </c>
      <c r="E27" s="13">
        <f>E23+E25</f>
        <v>10458.744000000017</v>
      </c>
      <c r="F27" s="13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L22"/>
  <sheetViews>
    <sheetView workbookViewId="0"/>
  </sheetViews>
  <sheetFormatPr baseColWidth="10" defaultColWidth="9.1640625" defaultRowHeight="12"/>
  <cols>
    <col min="1" max="1" width="2" style="6" customWidth="1"/>
    <col min="2" max="2" width="24.1640625" style="6" bestFit="1" customWidth="1"/>
    <col min="3" max="3" width="9.1640625" style="6"/>
    <col min="4" max="4" width="10.83203125" style="6" customWidth="1"/>
    <col min="5" max="5" width="10.6640625" style="6" customWidth="1"/>
    <col min="6" max="6" width="10" style="6" bestFit="1" customWidth="1"/>
    <col min="7" max="7" width="9.1640625" style="6"/>
    <col min="8" max="8" width="22.1640625" style="6" bestFit="1" customWidth="1"/>
    <col min="9" max="9" width="9.1640625" style="6"/>
    <col min="10" max="10" width="10" style="6" bestFit="1" customWidth="1"/>
    <col min="11" max="11" width="10.5" style="6" customWidth="1"/>
    <col min="12" max="12" width="11.1640625" style="6" customWidth="1"/>
    <col min="13" max="16384" width="9.1640625" style="6"/>
  </cols>
  <sheetData>
    <row r="1" spans="2:12" ht="16">
      <c r="B1" s="5" t="s">
        <v>0</v>
      </c>
    </row>
    <row r="3" spans="2:12" ht="26">
      <c r="B3" s="7" t="s">
        <v>48</v>
      </c>
      <c r="C3" s="7"/>
      <c r="D3" s="8" t="s">
        <v>90</v>
      </c>
      <c r="E3" s="8" t="s">
        <v>91</v>
      </c>
      <c r="F3" s="8" t="s">
        <v>92</v>
      </c>
      <c r="H3" s="7" t="s">
        <v>48</v>
      </c>
      <c r="I3" s="7"/>
      <c r="J3" s="8" t="s">
        <v>90</v>
      </c>
      <c r="K3" s="8" t="s">
        <v>91</v>
      </c>
      <c r="L3" s="8" t="s">
        <v>92</v>
      </c>
    </row>
    <row r="4" spans="2:12">
      <c r="B4" s="6" t="s">
        <v>26</v>
      </c>
      <c r="D4" s="12">
        <v>5961.6</v>
      </c>
      <c r="E4" s="12">
        <v>5840</v>
      </c>
      <c r="F4" s="12">
        <v>5650</v>
      </c>
      <c r="G4" s="12"/>
      <c r="H4" s="12" t="s">
        <v>32</v>
      </c>
      <c r="I4" s="12"/>
      <c r="J4" s="12">
        <v>6784.8</v>
      </c>
      <c r="K4" s="12">
        <v>6800</v>
      </c>
      <c r="L4" s="12">
        <v>7508</v>
      </c>
    </row>
    <row r="5" spans="2:12">
      <c r="B5" s="6" t="s">
        <v>37</v>
      </c>
      <c r="D5" s="12">
        <v>45106.400000000001</v>
      </c>
      <c r="E5" s="12">
        <v>49072.4</v>
      </c>
      <c r="F5" s="12">
        <v>56109.2</v>
      </c>
      <c r="G5" s="12"/>
      <c r="H5" s="12" t="s">
        <v>33</v>
      </c>
      <c r="I5" s="12"/>
      <c r="J5" s="12">
        <v>46224</v>
      </c>
      <c r="K5" s="12">
        <v>44414.400000000001</v>
      </c>
      <c r="L5" s="12">
        <v>46513.2</v>
      </c>
    </row>
    <row r="6" spans="2:12">
      <c r="B6" s="6" t="s">
        <v>46</v>
      </c>
      <c r="D6" s="12">
        <v>8824</v>
      </c>
      <c r="E6" s="12">
        <v>9831</v>
      </c>
      <c r="F6" s="12">
        <v>10323</v>
      </c>
      <c r="G6" s="12"/>
      <c r="H6" s="12" t="s">
        <v>34</v>
      </c>
      <c r="I6" s="12"/>
      <c r="J6" s="12">
        <v>16393.7</v>
      </c>
      <c r="K6" s="12">
        <v>25993.7</v>
      </c>
      <c r="L6" s="12">
        <v>21516</v>
      </c>
    </row>
    <row r="7" spans="2:12">
      <c r="D7" s="12"/>
      <c r="E7" s="12"/>
      <c r="F7" s="12"/>
      <c r="G7" s="12"/>
      <c r="H7" s="12" t="s">
        <v>35</v>
      </c>
      <c r="I7" s="12"/>
      <c r="J7" s="12">
        <v>12019.861333333281</v>
      </c>
      <c r="K7" s="12">
        <v>10458.744000000017</v>
      </c>
      <c r="L7" s="12">
        <v>16331.153574603002</v>
      </c>
    </row>
    <row r="8" spans="2:12" ht="13" thickBot="1">
      <c r="B8" s="9" t="s">
        <v>49</v>
      </c>
      <c r="C8" s="14"/>
      <c r="D8" s="13">
        <f>D6+D5+D4</f>
        <v>59892</v>
      </c>
      <c r="E8" s="13">
        <f>E6+E5+E4</f>
        <v>64743.4</v>
      </c>
      <c r="F8" s="13">
        <f>F6+F5+F4</f>
        <v>72082.2</v>
      </c>
      <c r="G8" s="12"/>
      <c r="H8" s="13" t="s">
        <v>36</v>
      </c>
      <c r="I8" s="29"/>
      <c r="J8" s="13">
        <f>SUM(J4:J7)</f>
        <v>81422.361333333276</v>
      </c>
      <c r="K8" s="13">
        <f>SUM(K4:K7)</f>
        <v>87666.844000000026</v>
      </c>
      <c r="L8" s="13">
        <f>SUM(L4:L7)</f>
        <v>91868.353574602996</v>
      </c>
    </row>
    <row r="9" spans="2:12">
      <c r="D9" s="12"/>
      <c r="E9" s="12"/>
      <c r="F9" s="12"/>
      <c r="G9" s="12"/>
      <c r="H9" s="12"/>
      <c r="I9" s="12"/>
      <c r="J9" s="12"/>
      <c r="K9" s="12"/>
      <c r="L9" s="12"/>
    </row>
    <row r="10" spans="2:12">
      <c r="B10" s="6" t="s">
        <v>29</v>
      </c>
      <c r="D10" s="12">
        <v>31167.200000000001</v>
      </c>
      <c r="E10" s="12">
        <v>36396.800000000003</v>
      </c>
      <c r="F10" s="12">
        <v>46212</v>
      </c>
      <c r="G10" s="12"/>
      <c r="H10" s="12" t="s">
        <v>38</v>
      </c>
      <c r="I10" s="12"/>
      <c r="J10" s="12">
        <v>15891.2</v>
      </c>
      <c r="K10" s="12">
        <v>26351.599999999999</v>
      </c>
      <c r="L10" s="12">
        <v>36189.599999999999</v>
      </c>
    </row>
    <row r="11" spans="2:12">
      <c r="B11" s="6" t="s">
        <v>27</v>
      </c>
      <c r="D11" s="12">
        <v>32883.599999999999</v>
      </c>
      <c r="E11" s="12">
        <v>38556</v>
      </c>
      <c r="F11" s="12">
        <v>43581.599999999999</v>
      </c>
      <c r="G11" s="12"/>
      <c r="H11" s="12" t="s">
        <v>39</v>
      </c>
      <c r="I11" s="12"/>
      <c r="J11" s="12">
        <v>5315</v>
      </c>
      <c r="K11" s="12">
        <v>4334</v>
      </c>
      <c r="L11" s="12">
        <v>6473.0464253970422</v>
      </c>
    </row>
    <row r="12" spans="2:12">
      <c r="B12" s="6" t="s">
        <v>28</v>
      </c>
      <c r="D12" s="12">
        <v>8841.6</v>
      </c>
      <c r="E12" s="12">
        <v>11359.199999999999</v>
      </c>
      <c r="F12" s="12">
        <v>17602.8</v>
      </c>
      <c r="G12" s="12"/>
      <c r="H12" s="12" t="s">
        <v>45</v>
      </c>
      <c r="I12" s="12"/>
      <c r="J12" s="12">
        <v>478.83866666668911</v>
      </c>
      <c r="K12" s="12">
        <v>1217.9560000000056</v>
      </c>
      <c r="L12" s="12">
        <v>1760.3999999999999</v>
      </c>
    </row>
    <row r="13" spans="2:12">
      <c r="D13" s="12"/>
      <c r="E13" s="12"/>
      <c r="F13" s="12"/>
      <c r="G13" s="12"/>
      <c r="H13" s="12" t="s">
        <v>40</v>
      </c>
      <c r="I13" s="12"/>
      <c r="J13" s="12">
        <v>175.2</v>
      </c>
      <c r="K13" s="12">
        <v>248.39999999999998</v>
      </c>
      <c r="L13" s="12">
        <v>240</v>
      </c>
    </row>
    <row r="14" spans="2:12">
      <c r="B14" s="6" t="s">
        <v>30</v>
      </c>
      <c r="D14" s="12">
        <v>11791.199999999999</v>
      </c>
      <c r="E14" s="12">
        <v>19408.8</v>
      </c>
      <c r="F14" s="12">
        <v>8173.6</v>
      </c>
      <c r="G14" s="12"/>
      <c r="H14" s="12"/>
      <c r="I14" s="12"/>
      <c r="J14" s="12"/>
      <c r="K14" s="12"/>
      <c r="L14" s="12"/>
    </row>
    <row r="15" spans="2:12" ht="13" thickBot="1">
      <c r="B15" s="9" t="s">
        <v>50</v>
      </c>
      <c r="C15" s="14"/>
      <c r="D15" s="13">
        <f>+D14+D12+D11+D10</f>
        <v>84683.599999999991</v>
      </c>
      <c r="E15" s="13">
        <f>+E14+E12+E11+E10</f>
        <v>105720.8</v>
      </c>
      <c r="F15" s="13">
        <f>+F14+F12+F11+F10</f>
        <v>115570</v>
      </c>
      <c r="G15" s="12"/>
      <c r="H15" s="12" t="s">
        <v>41</v>
      </c>
      <c r="I15" s="12"/>
      <c r="J15" s="12">
        <v>37402.600000000006</v>
      </c>
      <c r="K15" s="12">
        <v>45594.6</v>
      </c>
      <c r="L15" s="12">
        <v>50680.399999999994</v>
      </c>
    </row>
    <row r="16" spans="2:12">
      <c r="D16" s="12"/>
      <c r="E16" s="12"/>
      <c r="F16" s="12"/>
      <c r="G16" s="12"/>
      <c r="H16" s="12" t="s">
        <v>42</v>
      </c>
      <c r="I16" s="12"/>
      <c r="J16" s="12">
        <v>3890.3999999999996</v>
      </c>
      <c r="K16" s="12">
        <v>5050.8</v>
      </c>
      <c r="L16" s="12">
        <v>440.4</v>
      </c>
    </row>
    <row r="17" spans="2:12" ht="13" thickBot="1">
      <c r="D17" s="12"/>
      <c r="E17" s="12"/>
      <c r="F17" s="12"/>
      <c r="G17" s="12"/>
      <c r="H17" s="13" t="s">
        <v>43</v>
      </c>
      <c r="I17" s="29"/>
      <c r="J17" s="13">
        <f>J16+J15+SUM(J10:J13)</f>
        <v>63153.238666666701</v>
      </c>
      <c r="K17" s="13">
        <f>K16+K15+SUM(K10:K13)</f>
        <v>82797.356</v>
      </c>
      <c r="L17" s="13">
        <f>L16+L15+SUM(L10:L13)</f>
        <v>95783.846425397031</v>
      </c>
    </row>
    <row r="18" spans="2:12">
      <c r="D18" s="12"/>
      <c r="E18" s="12"/>
      <c r="F18" s="12"/>
      <c r="G18" s="12"/>
      <c r="H18" s="12"/>
      <c r="I18" s="12"/>
      <c r="J18" s="12"/>
      <c r="K18" s="12"/>
      <c r="L18" s="12"/>
    </row>
    <row r="19" spans="2:12" ht="13" thickBot="1">
      <c r="B19" s="9" t="s">
        <v>31</v>
      </c>
      <c r="C19" s="14"/>
      <c r="D19" s="13">
        <f>D15+D8</f>
        <v>144575.59999999998</v>
      </c>
      <c r="E19" s="13">
        <f>E15+E8</f>
        <v>170464.2</v>
      </c>
      <c r="F19" s="13">
        <f>F15+F8</f>
        <v>187652.2</v>
      </c>
      <c r="G19" s="12"/>
      <c r="H19" s="13" t="s">
        <v>44</v>
      </c>
      <c r="I19" s="29"/>
      <c r="J19" s="13">
        <f>J17+J8</f>
        <v>144575.59999999998</v>
      </c>
      <c r="K19" s="13">
        <f>K17+K8</f>
        <v>170464.2</v>
      </c>
      <c r="L19" s="13">
        <f>L17+L8</f>
        <v>187652.2</v>
      </c>
    </row>
    <row r="22" spans="2:12">
      <c r="J22" s="6">
        <f>J19-D19</f>
        <v>0</v>
      </c>
      <c r="K22" s="6">
        <f>K19-E19</f>
        <v>0</v>
      </c>
      <c r="L22" s="6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2022-04-13T18:57:36Z</dcterms:modified>
</cp:coreProperties>
</file>