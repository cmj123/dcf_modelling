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D5D96663-3A22-5D49-B98F-2C1A4BF3AA7B}" xr6:coauthVersionLast="46" xr6:coauthVersionMax="46" xr10:uidLastSave="{00000000-0000-0000-0000-000000000000}"/>
  <bookViews>
    <workbookView xWindow="0" yWindow="500" windowWidth="28800" windowHeight="16140" firstSheet="2" activeTab="2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K25" i="8" l="1"/>
  <c r="J25" i="8"/>
  <c r="I25" i="8"/>
  <c r="H25" i="8"/>
  <c r="K24" i="8"/>
  <c r="J24" i="8"/>
  <c r="I24" i="8"/>
  <c r="H24" i="8"/>
  <c r="K23" i="8"/>
  <c r="J23" i="8"/>
  <c r="I23" i="8"/>
  <c r="H23" i="8"/>
  <c r="G25" i="8"/>
  <c r="G23" i="8"/>
  <c r="G24" i="8"/>
  <c r="E22" i="8"/>
  <c r="D22" i="8"/>
  <c r="C22" i="8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H22" i="8"/>
  <c r="J22" i="8" s="1"/>
  <c r="G22" i="8"/>
  <c r="K16" i="8"/>
  <c r="J16" i="8"/>
  <c r="I16" i="8"/>
  <c r="H16" i="8"/>
  <c r="G16" i="8"/>
  <c r="G15" i="8" s="1"/>
  <c r="H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D21" i="8"/>
  <c r="E21" i="8"/>
  <c r="C21" i="8"/>
  <c r="I15" i="8" l="1"/>
  <c r="J15" i="8" s="1"/>
  <c r="K15" i="8" s="1"/>
  <c r="I22" i="8"/>
  <c r="K22" i="8" l="1"/>
  <c r="D15" i="8" l="1"/>
  <c r="E15" i="8"/>
  <c r="C15" i="8"/>
  <c r="K10" i="8"/>
  <c r="J10" i="8"/>
  <c r="I10" i="8"/>
  <c r="H10" i="8"/>
  <c r="G10" i="8"/>
  <c r="G9" i="8" s="1"/>
  <c r="E10" i="8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21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9" i="8" l="1"/>
  <c r="H21" i="8"/>
  <c r="E8" i="3"/>
  <c r="K17" i="3"/>
  <c r="J17" i="3"/>
  <c r="D15" i="3"/>
  <c r="F15" i="3"/>
  <c r="F8" i="3"/>
  <c r="D8" i="3"/>
  <c r="L17" i="3"/>
  <c r="E15" i="3"/>
  <c r="L8" i="3"/>
  <c r="K8" i="3"/>
  <c r="J8" i="3"/>
  <c r="J9" i="8" l="1"/>
  <c r="I21" i="8"/>
  <c r="D19" i="3"/>
  <c r="F19" i="3"/>
  <c r="L19" i="3"/>
  <c r="J19" i="3"/>
  <c r="K19" i="3"/>
  <c r="E19" i="3"/>
  <c r="K9" i="8" l="1"/>
  <c r="K21" i="8" s="1"/>
  <c r="J21" i="8"/>
  <c r="L22" i="3"/>
  <c r="K22" i="3"/>
  <c r="J22" i="3"/>
</calcChain>
</file>

<file path=xl/sharedStrings.xml><?xml version="1.0" encoding="utf-8"?>
<sst xmlns="http://schemas.openxmlformats.org/spreadsheetml/2006/main" count="224" uniqueCount="110">
  <si>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</si>
  <si>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</si>
  <si>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</si>
  <si>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</si>
  <si>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</si>
  <si>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</si>
  <si>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</si>
  <si>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</si>
  <si>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</si>
  <si>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</si>
  <si>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</si>
  <si>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</si>
  <si>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</si>
  <si>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</si>
  <si>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</si>
  <si>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</si>
  <si>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</si>
  <si>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</si>
  <si>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</si>
  <si>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</si>
  <si>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</si>
  <si>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</si>
  <si>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</si>
  <si>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</si>
  <si>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</si>
  <si>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</si>
  <si>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</si>
  <si>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</si>
  <si>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</si>
  <si>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</si>
  <si>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</si>
  <si>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</si>
  <si>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</si>
  <si>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</si>
  <si>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</si>
  <si>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</si>
  <si>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</si>
  <si>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</si>
  <si>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</si>
  <si>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</si>
  <si>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</si>
  <si>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</si>
  <si>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</si>
  <si>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</si>
  <si>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</si>
  <si>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</si>
  <si>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</si>
  <si>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</si>
  <si>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</si>
  <si>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</si>
  <si>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</si>
  <si>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</si>
  <si>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</si>
  <si>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</si>
  <si>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</si>
  <si>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</si>
  <si>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</si>
  <si>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</si>
  <si>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</si>
  <si>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</si>
  <si>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</si>
  <si>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</si>
  <si>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</si>
  <si>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</si>
  <si>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</si>
  <si>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</si>
  <si>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</si>
  <si>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</si>
  <si>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</si>
  <si>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</si>
  <si>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</si>
  <si>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</si>
  <si>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</si>
  <si>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</si>
  <si>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</si>
  <si>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</si>
  <si>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</si>
  <si>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</si>
  <si>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</si>
  <si>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</si>
  <si>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</si>
  <si>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</si>
  <si>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</si>
  <si>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</si>
  <si>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</si>
  <si>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</si>
  <si>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</si>
  <si>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</si>
  <si>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</si>
  <si>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</si>
  <si>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</si>
  <si>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</si>
  <si>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</si>
  <si>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</si>
  <si>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</si>
  <si>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</si>
  <si>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</si>
  <si>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</si>
  <si>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</si>
  <si>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</si>
  <si>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</si>
  <si>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</si>
  <si>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</si>
  <si>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</si>
  <si>
    <t>y-o-y growth %</t>
  </si>
  <si>
    <t>% of revenues</t>
  </si>
  <si>
    <t>Operating Expenses</t>
  </si>
  <si>
    <t>D &amp; A</t>
  </si>
  <si>
    <t>Interest expense</t>
  </si>
  <si>
    <t>% of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</si>
</sst>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170" fontId="1" fillId="2" borderId="0" xfId="3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5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 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9">
        <v>1</v>
      </c>
      <c r="C5" s="40" t="s">
        <v>56</v>
      </c>
    </row>
    <row r="6" spans="2:3">
      <c r="B6" s="27">
        <f>B5+1</f>
        <v>2</v>
      </c>
      <c r="C6" s="41" t="s">
        <v>23</v>
      </c>
    </row>
    <row r="7" spans="2:3">
      <c r="B7" s="27">
        <f t="shared" ref="B7:B21" si="0">B6+1</f>
        <v>3</v>
      </c>
      <c r="C7" s="41" t="s">
        <v>24</v>
      </c>
    </row>
    <row r="8" spans="2:3">
      <c r="B8" s="39">
        <f t="shared" si="0"/>
        <v>4</v>
      </c>
      <c r="C8" s="40" t="s">
        <v>57</v>
      </c>
    </row>
    <row r="9" spans="2:3">
      <c r="B9" s="27">
        <f t="shared" si="0"/>
        <v>5</v>
      </c>
      <c r="C9" s="41" t="s">
        <v>6</v>
      </c>
    </row>
    <row r="10" spans="2:3">
      <c r="B10" s="27">
        <f t="shared" si="0"/>
        <v>6</v>
      </c>
      <c r="C10" s="41" t="s">
        <v>22</v>
      </c>
    </row>
    <row r="11" spans="2:3">
      <c r="B11" s="27">
        <f t="shared" si="0"/>
        <v>7</v>
      </c>
      <c r="C11" s="41" t="s">
        <v>25</v>
      </c>
    </row>
    <row r="12" spans="2:3">
      <c r="B12" s="27">
        <f t="shared" si="0"/>
        <v>8</v>
      </c>
      <c r="C12" s="41" t="s">
        <v>51</v>
      </c>
    </row>
    <row r="13" spans="2:3">
      <c r="B13" s="39">
        <f t="shared" si="0"/>
        <v>9</v>
      </c>
      <c r="C13" s="40" t="s">
        <v>63</v>
      </c>
    </row>
    <row r="14" spans="2:3">
      <c r="B14" s="27">
        <f t="shared" si="0"/>
        <v>10</v>
      </c>
      <c r="C14" s="41" t="s">
        <v>58</v>
      </c>
    </row>
    <row r="15" spans="2:3">
      <c r="B15" s="27">
        <f t="shared" si="0"/>
        <v>11</v>
      </c>
      <c r="C15" s="41" t="s">
        <v>55</v>
      </c>
    </row>
    <row r="16" spans="2:3">
      <c r="B16" s="27">
        <f t="shared" si="0"/>
        <v>12</v>
      </c>
      <c r="C16" s="41" t="s">
        <v>59</v>
      </c>
    </row>
    <row r="17" spans="2:3">
      <c r="B17" s="27">
        <f t="shared" si="0"/>
        <v>13</v>
      </c>
      <c r="C17" s="41" t="s">
        <v>60</v>
      </c>
    </row>
    <row r="18" spans="2:3">
      <c r="B18" s="27">
        <f t="shared" si="0"/>
        <v>14</v>
      </c>
      <c r="C18" s="41" t="s">
        <v>61</v>
      </c>
    </row>
    <row r="19" spans="2:3">
      <c r="B19" s="39">
        <f t="shared" si="0"/>
        <v>15</v>
      </c>
      <c r="C19" s="40" t="s">
        <v>62</v>
      </c>
    </row>
    <row r="20" spans="2:3">
      <c r="B20" s="27">
        <f t="shared" si="0"/>
        <v>16</v>
      </c>
      <c r="C20" s="41" t="s">
        <v>1</v>
      </c>
    </row>
    <row r="21" spans="2:3">
      <c r="B21" s="27">
        <f t="shared" si="0"/>
        <v>17</v>
      </c>
      <c r="C21" s="41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tabSelected="1" zoomScale="110" zoomScaleNormal="110" workbookViewId="0">
      <pane ySplit="8" topLeftCell="A9" activePane="bottomLeft" state="frozen"/>
      <selection pane="bottomLeft" activeCell="C6" sqref="C6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6640625" style="6" bestFit="1" customWidth="1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96</v>
      </c>
    </row>
    <row r="3" spans="2:14" ht="16">
      <c r="B3" s="5"/>
      <c r="G3" s="6" t="s">
        <v>97</v>
      </c>
      <c r="H3" s="6" t="s">
        <v>100</v>
      </c>
    </row>
    <row r="4" spans="2:14" ht="16">
      <c r="B4" s="5"/>
      <c r="G4" s="6" t="s">
        <v>98</v>
      </c>
      <c r="H4" s="6" t="s">
        <v>101</v>
      </c>
    </row>
    <row r="5" spans="2:14" ht="16">
      <c r="B5" s="5" t="s">
        <v>95</v>
      </c>
      <c r="C5" s="57">
        <v>3</v>
      </c>
      <c r="G5" s="6" t="s">
        <v>99</v>
      </c>
      <c r="H5" s="6" t="s">
        <v>102</v>
      </c>
    </row>
    <row r="7" spans="2:14" ht="3" customHeight="1"/>
    <row r="8" spans="2:14" ht="27" thickBot="1">
      <c r="B8" s="16" t="s">
        <v>47</v>
      </c>
      <c r="C8" s="17" t="s">
        <v>81</v>
      </c>
      <c r="D8" s="17" t="s">
        <v>82</v>
      </c>
      <c r="E8" s="17" t="s">
        <v>83</v>
      </c>
      <c r="F8" s="20"/>
      <c r="G8" s="18" t="s">
        <v>84</v>
      </c>
      <c r="H8" s="18" t="s">
        <v>85</v>
      </c>
      <c r="I8" s="18" t="s">
        <v>86</v>
      </c>
      <c r="J8" s="18" t="s">
        <v>87</v>
      </c>
      <c r="K8" s="18" t="s">
        <v>88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>
        <f>E9*(1+G10)</f>
        <v>216700.64</v>
      </c>
      <c r="H9" s="26">
        <f>G9*(1+H10)</f>
        <v>225368.66560000004</v>
      </c>
      <c r="I9" s="26">
        <f t="shared" ref="I9:K9" si="0">H9*(1+I10)</f>
        <v>234383.41222400006</v>
      </c>
      <c r="J9" s="26">
        <f t="shared" si="0"/>
        <v>243758.74871296008</v>
      </c>
      <c r="K9" s="26">
        <f t="shared" si="0"/>
        <v>253509.09866147849</v>
      </c>
      <c r="N9" s="20"/>
    </row>
    <row r="10" spans="2:14">
      <c r="B10" s="6" t="s">
        <v>103</v>
      </c>
      <c r="C10" s="34"/>
      <c r="D10" s="24">
        <f>D9/C9 - 1</f>
        <v>6.4417645299458703E-2</v>
      </c>
      <c r="E10" s="24">
        <f>E9/D9 - 1</f>
        <v>0.10469838509580209</v>
      </c>
      <c r="G10" s="25">
        <f>CHOOSE($C$5,G11,G12,G13)</f>
        <v>0.04</v>
      </c>
      <c r="H10" s="25">
        <f t="shared" ref="H10:K10" si="1">CHOOSE($C$5,H11,H12,H13)</f>
        <v>0.04</v>
      </c>
      <c r="I10" s="25">
        <f t="shared" si="1"/>
        <v>0.04</v>
      </c>
      <c r="J10" s="25">
        <f t="shared" si="1"/>
        <v>0.04</v>
      </c>
      <c r="K10" s="25">
        <f t="shared" si="1"/>
        <v>0.04</v>
      </c>
    </row>
    <row r="11" spans="2:14">
      <c r="B11" s="6" t="s">
        <v>97</v>
      </c>
      <c r="C11" s="58"/>
      <c r="D11" s="58"/>
      <c r="E11" s="58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98</v>
      </c>
      <c r="C12" s="58"/>
      <c r="D12" s="58"/>
      <c r="E12" s="58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99</v>
      </c>
      <c r="C13" s="58"/>
      <c r="D13" s="58"/>
      <c r="E13" s="58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8"/>
      <c r="D14" s="58"/>
      <c r="E14" s="58"/>
      <c r="G14" s="26"/>
      <c r="H14" s="26"/>
      <c r="I14" s="26"/>
      <c r="J14" s="26"/>
      <c r="K14" s="26"/>
    </row>
    <row r="15" spans="2:14">
      <c r="B15" s="6" t="s">
        <v>68</v>
      </c>
      <c r="C15" s="6">
        <f>'P&amp;L source'!D5</f>
        <v>3520</v>
      </c>
      <c r="D15" s="6">
        <f>'P&amp;L source'!E5</f>
        <v>2416</v>
      </c>
      <c r="E15" s="6">
        <f>'P&amp;L source'!F5</f>
        <v>2585</v>
      </c>
      <c r="G15" s="26">
        <f>E15*(1+G16)</f>
        <v>2585</v>
      </c>
      <c r="H15" s="26">
        <f>G15*(1+H16)</f>
        <v>2585</v>
      </c>
      <c r="I15" s="26">
        <f t="shared" ref="I15" si="2">H15*(1+I16)</f>
        <v>2585</v>
      </c>
      <c r="J15" s="26">
        <f t="shared" ref="J15" si="3">I15*(1+J16)</f>
        <v>2585</v>
      </c>
      <c r="K15" s="26">
        <f t="shared" ref="K15" si="4">J15*(1+K16)</f>
        <v>2585</v>
      </c>
    </row>
    <row r="16" spans="2:14">
      <c r="B16" s="6" t="s">
        <v>104</v>
      </c>
      <c r="G16" s="25">
        <f>CHOOSE($C$5,G17,G18,G19)</f>
        <v>0</v>
      </c>
      <c r="H16" s="25">
        <f t="shared" ref="H16" si="5">CHOOSE($C$5,H17,H18,H19)</f>
        <v>0</v>
      </c>
      <c r="I16" s="25">
        <f t="shared" ref="I16" si="6">CHOOSE($C$5,I17,I18,I19)</f>
        <v>0</v>
      </c>
      <c r="J16" s="25">
        <f t="shared" ref="J16" si="7">CHOOSE($C$5,J17,J18,J19)</f>
        <v>0</v>
      </c>
      <c r="K16" s="25">
        <f t="shared" ref="K16" si="8">CHOOSE($C$5,K17,K18,K19)</f>
        <v>0</v>
      </c>
    </row>
    <row r="17" spans="2:11">
      <c r="B17" s="6" t="s">
        <v>97</v>
      </c>
      <c r="C17" s="58"/>
      <c r="D17" s="58"/>
      <c r="E17" s="58"/>
      <c r="G17" s="25">
        <v>0</v>
      </c>
      <c r="H17" s="25">
        <v>0</v>
      </c>
      <c r="I17" s="25">
        <v>0</v>
      </c>
      <c r="J17" s="25">
        <v>0</v>
      </c>
      <c r="K17" s="25">
        <v>0</v>
      </c>
    </row>
    <row r="18" spans="2:11">
      <c r="B18" s="6" t="s">
        <v>98</v>
      </c>
      <c r="C18" s="58"/>
      <c r="D18" s="58"/>
      <c r="E18" s="58"/>
      <c r="G18" s="25">
        <v>0</v>
      </c>
      <c r="H18" s="25">
        <v>0</v>
      </c>
      <c r="I18" s="25">
        <v>0</v>
      </c>
      <c r="J18" s="25">
        <v>0</v>
      </c>
      <c r="K18" s="25">
        <v>0</v>
      </c>
    </row>
    <row r="19" spans="2:11">
      <c r="B19" s="6" t="s">
        <v>99</v>
      </c>
      <c r="C19" s="58"/>
      <c r="D19" s="58"/>
      <c r="E19" s="58"/>
      <c r="G19" s="25">
        <v>0</v>
      </c>
      <c r="H19" s="25">
        <v>0</v>
      </c>
      <c r="I19" s="25">
        <v>0</v>
      </c>
      <c r="J19" s="25">
        <v>0</v>
      </c>
      <c r="K19" s="25">
        <v>0</v>
      </c>
    </row>
    <row r="20" spans="2:11" ht="3.75" customHeight="1">
      <c r="G20" s="26"/>
      <c r="H20" s="26"/>
      <c r="I20" s="26"/>
      <c r="J20" s="26"/>
      <c r="K20" s="26"/>
    </row>
    <row r="21" spans="2:11">
      <c r="B21" s="6" t="s">
        <v>69</v>
      </c>
      <c r="C21" s="6">
        <f>'P&amp;L source'!D8+'P&amp;L source'!D9</f>
        <v>-142394.36746666671</v>
      </c>
      <c r="D21" s="6">
        <f>'P&amp;L source'!E8+'P&amp;L source'!E9</f>
        <v>-150572.16639999999</v>
      </c>
      <c r="E21" s="6">
        <f>'P&amp;L source'!F8+'P&amp;L source'!F9</f>
        <v>-157523.118425397</v>
      </c>
      <c r="G21" s="35">
        <f>G9*G22</f>
        <v>-173360.51200000002</v>
      </c>
      <c r="H21" s="35">
        <f t="shared" ref="H21:K21" si="9">H9*H22</f>
        <v>-180294.93248000005</v>
      </c>
      <c r="I21" s="35">
        <f t="shared" si="9"/>
        <v>-187506.72977920005</v>
      </c>
      <c r="J21" s="35">
        <f t="shared" si="9"/>
        <v>-195006.99897036806</v>
      </c>
      <c r="K21" s="35">
        <f t="shared" si="9"/>
        <v>-202807.27892918279</v>
      </c>
    </row>
    <row r="22" spans="2:11">
      <c r="B22" s="6" t="s">
        <v>105</v>
      </c>
      <c r="C22" s="23">
        <f>C21/C9</f>
        <v>-0.8035663474470901</v>
      </c>
      <c r="D22" s="23">
        <f t="shared" ref="D22:E22" si="10">D21/D9</f>
        <v>-0.79829160737575411</v>
      </c>
      <c r="E22" s="23">
        <f t="shared" si="10"/>
        <v>-0.75599242882906514</v>
      </c>
      <c r="G22" s="25">
        <f>CHOOSE($C$5,G23,G24,G25)</f>
        <v>-0.8</v>
      </c>
      <c r="H22" s="25">
        <f t="shared" ref="H22" si="11">CHOOSE($C$5,H23,H24,H25)</f>
        <v>-0.8</v>
      </c>
      <c r="I22" s="25">
        <f t="shared" ref="I22" si="12">CHOOSE($C$5,I23,I24,I25)</f>
        <v>-0.8</v>
      </c>
      <c r="J22" s="25">
        <f t="shared" ref="J22" si="13">CHOOSE($C$5,J23,J24,J25)</f>
        <v>-0.8</v>
      </c>
      <c r="K22" s="25">
        <f t="shared" ref="K22" si="14">CHOOSE($C$5,K23,K24,K25)</f>
        <v>-0.8</v>
      </c>
    </row>
    <row r="23" spans="2:11">
      <c r="B23" s="6" t="s">
        <v>97</v>
      </c>
      <c r="C23" s="58"/>
      <c r="D23" s="58"/>
      <c r="E23" s="58"/>
      <c r="G23" s="25">
        <f>-76%</f>
        <v>-0.76</v>
      </c>
      <c r="H23" s="25">
        <f t="shared" ref="H23:K23" si="15">-76%</f>
        <v>-0.76</v>
      </c>
      <c r="I23" s="25">
        <f t="shared" si="15"/>
        <v>-0.76</v>
      </c>
      <c r="J23" s="25">
        <f t="shared" si="15"/>
        <v>-0.76</v>
      </c>
      <c r="K23" s="25">
        <f t="shared" si="15"/>
        <v>-0.76</v>
      </c>
    </row>
    <row r="24" spans="2:11">
      <c r="B24" s="6" t="s">
        <v>98</v>
      </c>
      <c r="C24" s="58"/>
      <c r="D24" s="58"/>
      <c r="E24" s="58"/>
      <c r="G24" s="25">
        <f>-78%</f>
        <v>-0.78</v>
      </c>
      <c r="H24" s="25">
        <f t="shared" ref="H24:K24" si="16">-78%</f>
        <v>-0.78</v>
      </c>
      <c r="I24" s="25">
        <f t="shared" si="16"/>
        <v>-0.78</v>
      </c>
      <c r="J24" s="25">
        <f t="shared" si="16"/>
        <v>-0.78</v>
      </c>
      <c r="K24" s="25">
        <f t="shared" si="16"/>
        <v>-0.78</v>
      </c>
    </row>
    <row r="25" spans="2:11" ht="12" customHeight="1">
      <c r="B25" s="6" t="s">
        <v>99</v>
      </c>
      <c r="C25" s="58"/>
      <c r="D25" s="58"/>
      <c r="E25" s="58"/>
      <c r="G25" s="25">
        <f>-80%</f>
        <v>-0.8</v>
      </c>
      <c r="H25" s="25">
        <f t="shared" ref="H25:K25" si="17">-80%</f>
        <v>-0.8</v>
      </c>
      <c r="I25" s="25">
        <f t="shared" si="17"/>
        <v>-0.8</v>
      </c>
      <c r="J25" s="25">
        <f t="shared" si="17"/>
        <v>-0.8</v>
      </c>
      <c r="K25" s="25">
        <f t="shared" si="17"/>
        <v>-0.8</v>
      </c>
    </row>
    <row r="26" spans="2:11" ht="3.75" customHeight="1">
      <c r="G26" s="26"/>
      <c r="H26" s="26"/>
      <c r="I26" s="26"/>
      <c r="J26" s="26"/>
      <c r="K26" s="26"/>
    </row>
    <row r="27" spans="2:11" ht="12" customHeight="1">
      <c r="B27" s="6" t="s">
        <v>106</v>
      </c>
      <c r="C27" s="6">
        <f>'P&amp;L source'!D10+'P&amp;L source'!D11+'P&amp;L source'!D12</f>
        <v>-18011.315200000005</v>
      </c>
      <c r="D27" s="6">
        <f>'P&amp;L source'!E10+'P&amp;L source'!E11+'P&amp;L source'!E12</f>
        <v>-19247.897599999997</v>
      </c>
      <c r="E27" s="6">
        <f>'P&amp;L source'!F10+'P&amp;L source'!F11+'P&amp;L source'!F12</f>
        <v>-23867.008000000009</v>
      </c>
      <c r="G27" s="35"/>
      <c r="H27" s="35"/>
      <c r="I27" s="35"/>
      <c r="J27" s="35"/>
      <c r="K27" s="35"/>
    </row>
    <row r="28" spans="2:11" ht="12" customHeight="1">
      <c r="B28" s="6" t="s">
        <v>105</v>
      </c>
      <c r="G28" s="25">
        <f>CHOOSE($C$5,G29,G30,G31)</f>
        <v>0</v>
      </c>
      <c r="H28" s="25">
        <f t="shared" ref="H28" si="18">CHOOSE($C$5,H29,H30,H31)</f>
        <v>0</v>
      </c>
      <c r="I28" s="25">
        <f t="shared" ref="I28" si="19">CHOOSE($C$5,I29,I30,I31)</f>
        <v>0</v>
      </c>
      <c r="J28" s="25">
        <f t="shared" ref="J28" si="20">CHOOSE($C$5,J29,J30,J31)</f>
        <v>0</v>
      </c>
      <c r="K28" s="25">
        <f t="shared" ref="K28" si="21">CHOOSE($C$5,K29,K30,K31)</f>
        <v>0</v>
      </c>
    </row>
    <row r="29" spans="2:11">
      <c r="B29" s="6" t="s">
        <v>97</v>
      </c>
      <c r="C29" s="58"/>
      <c r="D29" s="58"/>
      <c r="E29" s="58"/>
      <c r="G29" s="25"/>
      <c r="H29" s="25"/>
      <c r="I29" s="25"/>
      <c r="J29" s="25"/>
      <c r="K29" s="25"/>
    </row>
    <row r="30" spans="2:11">
      <c r="B30" s="6" t="s">
        <v>98</v>
      </c>
      <c r="C30" s="58"/>
      <c r="D30" s="58"/>
      <c r="E30" s="58"/>
      <c r="G30" s="25"/>
      <c r="H30" s="25"/>
      <c r="I30" s="25"/>
      <c r="J30" s="25"/>
      <c r="K30" s="25"/>
    </row>
    <row r="31" spans="2:11">
      <c r="B31" s="6" t="s">
        <v>99</v>
      </c>
      <c r="C31" s="58"/>
      <c r="D31" s="58"/>
      <c r="E31" s="58"/>
      <c r="G31" s="25"/>
      <c r="H31" s="25"/>
      <c r="I31" s="25"/>
      <c r="J31" s="25"/>
      <c r="K31" s="25"/>
    </row>
    <row r="32" spans="2:11" ht="6" customHeight="1">
      <c r="G32" s="25"/>
      <c r="H32" s="25"/>
      <c r="I32" s="25"/>
      <c r="J32" s="25"/>
      <c r="K32" s="25"/>
    </row>
    <row r="33" spans="2:11">
      <c r="B33" s="6" t="s">
        <v>107</v>
      </c>
      <c r="C33" s="6">
        <f>'P&amp;L source'!D16</f>
        <v>-2907.8000000000006</v>
      </c>
      <c r="D33" s="6">
        <f>'P&amp;L source'!E16</f>
        <v>-4649.8</v>
      </c>
      <c r="E33" s="6">
        <f>'P&amp;L source'!F16</f>
        <v>-6430.6600000000008</v>
      </c>
      <c r="G33" s="25"/>
      <c r="H33" s="25"/>
      <c r="I33" s="25"/>
      <c r="J33" s="25"/>
      <c r="K33" s="25"/>
    </row>
    <row r="34" spans="2:11">
      <c r="B34" s="6" t="s">
        <v>105</v>
      </c>
      <c r="G34" s="25">
        <f>CHOOSE($C$5,G35,G36,G37)</f>
        <v>0</v>
      </c>
      <c r="H34" s="25">
        <f t="shared" ref="H34" si="22">CHOOSE($C$5,H35,H36,H37)</f>
        <v>0</v>
      </c>
      <c r="I34" s="25">
        <f t="shared" ref="I34" si="23">CHOOSE($C$5,I35,I36,I37)</f>
        <v>0</v>
      </c>
      <c r="J34" s="25">
        <f t="shared" ref="J34" si="24">CHOOSE($C$5,J35,J36,J37)</f>
        <v>0</v>
      </c>
      <c r="K34" s="25">
        <f t="shared" ref="K34" si="25">CHOOSE($C$5,K35,K36,K37)</f>
        <v>0</v>
      </c>
    </row>
    <row r="35" spans="2:11">
      <c r="B35" s="6" t="s">
        <v>97</v>
      </c>
      <c r="C35" s="58"/>
      <c r="D35" s="58"/>
      <c r="E35" s="58"/>
      <c r="G35" s="25"/>
      <c r="H35" s="25"/>
      <c r="I35" s="25"/>
      <c r="J35" s="25"/>
      <c r="K35" s="25"/>
    </row>
    <row r="36" spans="2:11">
      <c r="B36" s="6" t="s">
        <v>98</v>
      </c>
      <c r="C36" s="58"/>
      <c r="D36" s="58"/>
      <c r="E36" s="58"/>
      <c r="G36" s="25"/>
      <c r="H36" s="25"/>
      <c r="I36" s="25"/>
      <c r="J36" s="25"/>
      <c r="K36" s="25"/>
    </row>
    <row r="37" spans="2:11">
      <c r="B37" s="6" t="s">
        <v>99</v>
      </c>
      <c r="C37" s="58"/>
      <c r="D37" s="58"/>
      <c r="E37" s="58"/>
      <c r="G37" s="25"/>
      <c r="H37" s="25"/>
      <c r="I37" s="25"/>
      <c r="J37" s="25"/>
      <c r="K37" s="25"/>
    </row>
    <row r="38" spans="2:11" ht="6" customHeight="1">
      <c r="G38" s="25"/>
      <c r="H38" s="25"/>
      <c r="I38" s="25"/>
      <c r="J38" s="25"/>
      <c r="K38" s="25"/>
    </row>
    <row r="39" spans="2:11">
      <c r="B39" s="6" t="s">
        <v>108</v>
      </c>
      <c r="C39" s="6">
        <f>'P&amp;L source'!D20</f>
        <v>-1266.3000000000002</v>
      </c>
      <c r="D39" s="6">
        <f>'P&amp;L source'!E20</f>
        <v>-2190.9</v>
      </c>
      <c r="E39" s="6">
        <f>'P&amp;L source'!F20</f>
        <v>-2663.92</v>
      </c>
      <c r="G39" s="25"/>
      <c r="H39" s="25"/>
      <c r="I39" s="25"/>
      <c r="J39" s="25"/>
      <c r="K39" s="25"/>
    </row>
    <row r="40" spans="2:11">
      <c r="B40" s="6" t="s">
        <v>104</v>
      </c>
      <c r="G40" s="25">
        <f>CHOOSE($C$5,G41,G42,G43)</f>
        <v>0</v>
      </c>
      <c r="H40" s="25">
        <f t="shared" ref="H40" si="26">CHOOSE($C$5,H41,H42,H43)</f>
        <v>0</v>
      </c>
      <c r="I40" s="25">
        <f t="shared" ref="I40" si="27">CHOOSE($C$5,I41,I42,I43)</f>
        <v>0</v>
      </c>
      <c r="J40" s="25">
        <f t="shared" ref="J40" si="28">CHOOSE($C$5,J41,J42,J43)</f>
        <v>0</v>
      </c>
      <c r="K40" s="25">
        <f t="shared" ref="K40" si="29">CHOOSE($C$5,K41,K42,K43)</f>
        <v>0</v>
      </c>
    </row>
    <row r="41" spans="2:11">
      <c r="B41" s="6" t="s">
        <v>97</v>
      </c>
      <c r="C41" s="58"/>
      <c r="D41" s="58"/>
      <c r="E41" s="58"/>
      <c r="G41" s="25"/>
      <c r="H41" s="25"/>
      <c r="I41" s="25"/>
      <c r="J41" s="25"/>
      <c r="K41" s="25"/>
    </row>
    <row r="42" spans="2:11">
      <c r="B42" s="6" t="s">
        <v>98</v>
      </c>
      <c r="C42" s="58"/>
      <c r="D42" s="58"/>
      <c r="E42" s="58"/>
      <c r="G42" s="25"/>
      <c r="H42" s="25"/>
      <c r="I42" s="25"/>
      <c r="J42" s="25"/>
      <c r="K42" s="25"/>
    </row>
    <row r="43" spans="2:11">
      <c r="B43" s="6" t="s">
        <v>99</v>
      </c>
      <c r="C43" s="58"/>
      <c r="D43" s="58"/>
      <c r="E43" s="58"/>
      <c r="G43" s="25"/>
      <c r="H43" s="25"/>
      <c r="I43" s="25"/>
      <c r="J43" s="25"/>
      <c r="K43" s="25"/>
    </row>
    <row r="44" spans="2:11" ht="5" customHeight="1">
      <c r="G44" s="25"/>
      <c r="H44" s="25"/>
      <c r="I44" s="25"/>
      <c r="J44" s="25"/>
      <c r="K44" s="25"/>
    </row>
    <row r="45" spans="2:11">
      <c r="B45" s="6" t="s">
        <v>18</v>
      </c>
      <c r="C45" s="6">
        <f>'P&amp;L source'!D21</f>
        <v>-317.58000000000004</v>
      </c>
      <c r="D45" s="6">
        <f>'P&amp;L source'!E21</f>
        <v>-864.30000000000007</v>
      </c>
      <c r="E45" s="6">
        <f>'P&amp;L source'!F21</f>
        <v>-320.26</v>
      </c>
      <c r="G45" s="25"/>
      <c r="H45" s="25"/>
      <c r="I45" s="25"/>
      <c r="J45" s="25"/>
      <c r="K45" s="25"/>
    </row>
    <row r="46" spans="2:11">
      <c r="B46" s="6" t="s">
        <v>104</v>
      </c>
      <c r="G46" s="25">
        <f>CHOOSE($C$5,G47,G48,G49)</f>
        <v>0</v>
      </c>
      <c r="H46" s="25">
        <f t="shared" ref="H46" si="30">CHOOSE($C$5,H47,H48,H49)</f>
        <v>0</v>
      </c>
      <c r="I46" s="25">
        <f t="shared" ref="I46" si="31">CHOOSE($C$5,I47,I48,I49)</f>
        <v>0</v>
      </c>
      <c r="J46" s="25">
        <f t="shared" ref="J46" si="32">CHOOSE($C$5,J47,J48,J49)</f>
        <v>0</v>
      </c>
      <c r="K46" s="25">
        <f t="shared" ref="K46" si="33">CHOOSE($C$5,K47,K48,K49)</f>
        <v>0</v>
      </c>
    </row>
    <row r="47" spans="2:11">
      <c r="B47" s="6" t="s">
        <v>97</v>
      </c>
      <c r="C47" s="58"/>
      <c r="D47" s="58"/>
      <c r="E47" s="58"/>
      <c r="G47" s="25"/>
      <c r="H47" s="25"/>
      <c r="I47" s="25"/>
      <c r="J47" s="25"/>
      <c r="K47" s="25"/>
    </row>
    <row r="48" spans="2:11">
      <c r="B48" s="6" t="s">
        <v>98</v>
      </c>
      <c r="C48" s="58"/>
      <c r="D48" s="58"/>
      <c r="E48" s="58"/>
      <c r="G48" s="25"/>
      <c r="H48" s="25"/>
      <c r="I48" s="25"/>
      <c r="J48" s="25"/>
      <c r="K48" s="25"/>
    </row>
    <row r="49" spans="2:11">
      <c r="B49" s="6" t="s">
        <v>99</v>
      </c>
      <c r="C49" s="58"/>
      <c r="D49" s="58"/>
      <c r="E49" s="58"/>
      <c r="G49" s="25"/>
      <c r="H49" s="25"/>
      <c r="I49" s="25"/>
      <c r="J49" s="25"/>
      <c r="K49" s="25"/>
    </row>
    <row r="50" spans="2:11" ht="4" customHeight="1">
      <c r="G50" s="25"/>
      <c r="H50" s="25"/>
      <c r="I50" s="25"/>
      <c r="J50" s="25"/>
      <c r="K50" s="25"/>
    </row>
    <row r="51" spans="2:11">
      <c r="B51" s="6" t="s">
        <v>20</v>
      </c>
      <c r="C51" s="6">
        <f>'P&amp;L source'!D25</f>
        <v>-3805.7759999999998</v>
      </c>
      <c r="D51" s="6">
        <f>'P&amp;L source'!E25</f>
        <v>-3050.192</v>
      </c>
      <c r="E51" s="6">
        <f>'P&amp;L source'!F25</f>
        <v>-3814.88</v>
      </c>
      <c r="G51" s="25"/>
      <c r="H51" s="25"/>
      <c r="I51" s="25"/>
      <c r="J51" s="25"/>
      <c r="K51" s="25"/>
    </row>
    <row r="52" spans="2:11">
      <c r="B52" s="6" t="s">
        <v>109</v>
      </c>
      <c r="G52" s="25">
        <f>CHOOSE($C$5,G53,G54,G55)</f>
        <v>0</v>
      </c>
      <c r="H52" s="25">
        <f t="shared" ref="H52" si="34">CHOOSE($C$5,H53,H54,H55)</f>
        <v>0</v>
      </c>
      <c r="I52" s="25">
        <f t="shared" ref="I52" si="35">CHOOSE($C$5,I53,I54,I55)</f>
        <v>0</v>
      </c>
      <c r="J52" s="25">
        <f t="shared" ref="J52" si="36">CHOOSE($C$5,J53,J54,J55)</f>
        <v>0</v>
      </c>
      <c r="K52" s="25">
        <f t="shared" ref="K52" si="37">CHOOSE($C$5,K53,K54,K55)</f>
        <v>0</v>
      </c>
    </row>
    <row r="53" spans="2:11">
      <c r="B53" s="6" t="s">
        <v>97</v>
      </c>
      <c r="C53" s="58"/>
      <c r="D53" s="58"/>
      <c r="E53" s="58"/>
      <c r="G53" s="25"/>
      <c r="H53" s="25"/>
      <c r="I53" s="25"/>
      <c r="J53" s="25"/>
      <c r="K53" s="25"/>
    </row>
    <row r="54" spans="2:11">
      <c r="B54" s="6" t="s">
        <v>98</v>
      </c>
      <c r="C54" s="58"/>
      <c r="D54" s="58"/>
      <c r="E54" s="58"/>
      <c r="G54" s="25"/>
      <c r="H54" s="25"/>
      <c r="I54" s="25"/>
      <c r="J54" s="25"/>
      <c r="K54" s="25"/>
    </row>
    <row r="55" spans="2:11">
      <c r="B55" s="6" t="s">
        <v>99</v>
      </c>
      <c r="C55" s="58"/>
      <c r="D55" s="58"/>
      <c r="E55" s="58"/>
      <c r="G55" s="25"/>
      <c r="H55" s="25"/>
      <c r="I55" s="25"/>
      <c r="J55" s="25"/>
      <c r="K55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/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1">
      <c r="C5" s="12"/>
      <c r="D5" s="12"/>
      <c r="E5" s="12"/>
      <c r="G5" s="26"/>
      <c r="H5" s="26"/>
      <c r="I5" s="26"/>
      <c r="J5" s="26"/>
      <c r="K5" s="26"/>
    </row>
    <row r="6" spans="2:11">
      <c r="B6" s="15"/>
      <c r="C6" s="15"/>
      <c r="D6" s="15"/>
      <c r="E6" s="15"/>
      <c r="G6" s="37"/>
      <c r="H6" s="37"/>
      <c r="I6" s="37"/>
      <c r="J6" s="37"/>
      <c r="K6" s="37"/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C8" s="12"/>
      <c r="D8" s="12"/>
      <c r="E8" s="12"/>
      <c r="G8" s="26"/>
      <c r="H8" s="26"/>
      <c r="I8" s="26"/>
      <c r="J8" s="26"/>
      <c r="K8" s="26"/>
    </row>
    <row r="9" spans="2:11">
      <c r="B9" s="15"/>
      <c r="C9" s="15"/>
      <c r="D9" s="15"/>
      <c r="E9" s="15"/>
      <c r="G9" s="37"/>
      <c r="H9" s="37"/>
      <c r="I9" s="37"/>
      <c r="J9" s="37"/>
      <c r="K9" s="37"/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C11" s="12"/>
      <c r="D11" s="12"/>
      <c r="E11" s="12"/>
      <c r="G11" s="26"/>
      <c r="H11" s="26"/>
      <c r="I11" s="26"/>
      <c r="J11" s="26"/>
      <c r="K11" s="26"/>
    </row>
    <row r="12" spans="2:11">
      <c r="B12" s="15"/>
      <c r="C12" s="15"/>
      <c r="D12" s="15"/>
      <c r="E12" s="15"/>
      <c r="G12" s="37"/>
      <c r="H12" s="37"/>
      <c r="I12" s="37"/>
      <c r="J12" s="37"/>
      <c r="K12" s="37"/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C14" s="12"/>
      <c r="D14" s="12"/>
      <c r="E14" s="12"/>
      <c r="G14" s="26"/>
      <c r="H14" s="26"/>
      <c r="I14" s="26"/>
      <c r="J14" s="26"/>
      <c r="K14" s="26"/>
    </row>
    <row r="15" spans="2:11">
      <c r="B15" s="15"/>
      <c r="C15" s="36"/>
      <c r="D15" s="36"/>
      <c r="E15" s="36"/>
      <c r="G15" s="43"/>
      <c r="H15" s="43"/>
      <c r="I15" s="43"/>
      <c r="J15" s="43"/>
      <c r="K15" s="43"/>
    </row>
    <row r="16" spans="2:11">
      <c r="C16" s="12"/>
      <c r="D16" s="12"/>
      <c r="E16" s="12"/>
      <c r="G16" s="44"/>
      <c r="H16" s="44"/>
      <c r="I16" s="44"/>
      <c r="J16" s="44"/>
      <c r="K16" s="44"/>
    </row>
    <row r="17" spans="2:11">
      <c r="C17" s="12"/>
      <c r="D17" s="12"/>
      <c r="E17" s="12"/>
      <c r="G17" s="26"/>
      <c r="H17" s="26"/>
      <c r="I17" s="26"/>
      <c r="J17" s="26"/>
      <c r="K17" s="26"/>
    </row>
    <row r="18" spans="2:11">
      <c r="B18" s="15"/>
      <c r="C18" s="36"/>
      <c r="D18" s="36"/>
      <c r="E18" s="36"/>
      <c r="G18" s="43"/>
      <c r="H18" s="43"/>
      <c r="I18" s="43"/>
      <c r="J18" s="43"/>
      <c r="K18" s="43"/>
    </row>
    <row r="19" spans="2:11">
      <c r="C19" s="12"/>
      <c r="D19" s="12"/>
      <c r="E19" s="12"/>
      <c r="G19" s="44"/>
      <c r="H19" s="44"/>
      <c r="I19" s="44"/>
      <c r="J19" s="44"/>
      <c r="K19" s="44"/>
    </row>
    <row r="20" spans="2:11">
      <c r="C20" s="12"/>
      <c r="D20" s="12"/>
      <c r="E20" s="12"/>
      <c r="G20" s="26"/>
      <c r="H20" s="26"/>
      <c r="I20" s="26"/>
      <c r="J20" s="26"/>
      <c r="K20" s="26"/>
    </row>
    <row r="21" spans="2:11">
      <c r="B21" s="15"/>
      <c r="C21" s="36"/>
      <c r="D21" s="36"/>
      <c r="E21" s="36"/>
      <c r="G21" s="43"/>
      <c r="H21" s="43"/>
      <c r="I21" s="43"/>
      <c r="J21" s="43"/>
      <c r="K21" s="4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/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67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68</v>
      </c>
      <c r="C5" s="12"/>
      <c r="D5" s="12"/>
      <c r="E5" s="12"/>
      <c r="G5" s="26"/>
      <c r="H5" s="26"/>
      <c r="I5" s="26"/>
      <c r="J5" s="26"/>
      <c r="K5" s="26"/>
    </row>
    <row r="6" spans="2:13">
      <c r="B6" s="47" t="s">
        <v>72</v>
      </c>
      <c r="C6" s="48"/>
      <c r="D6" s="48"/>
      <c r="E6" s="48"/>
      <c r="F6" s="49"/>
      <c r="G6" s="50"/>
      <c r="H6" s="50"/>
      <c r="I6" s="50"/>
      <c r="J6" s="50"/>
      <c r="K6" s="50"/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/>
      <c r="D8" s="12"/>
      <c r="E8" s="12"/>
      <c r="G8" s="26"/>
      <c r="H8" s="26"/>
      <c r="I8" s="26"/>
      <c r="J8" s="26"/>
      <c r="K8" s="26"/>
    </row>
    <row r="9" spans="2:13">
      <c r="B9" s="47" t="s">
        <v>73</v>
      </c>
      <c r="C9" s="48"/>
      <c r="D9" s="48"/>
      <c r="E9" s="48"/>
      <c r="F9" s="49"/>
      <c r="G9" s="50"/>
      <c r="H9" s="50"/>
      <c r="I9" s="50"/>
      <c r="J9" s="50"/>
      <c r="K9" s="50"/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/>
      <c r="D11" s="12"/>
      <c r="E11" s="12"/>
      <c r="F11" s="12"/>
      <c r="G11" s="26"/>
      <c r="H11" s="26"/>
      <c r="I11" s="26"/>
      <c r="J11" s="26"/>
      <c r="K11" s="26"/>
    </row>
    <row r="12" spans="2:13">
      <c r="B12" s="47" t="s">
        <v>14</v>
      </c>
      <c r="C12" s="48"/>
      <c r="D12" s="48"/>
      <c r="E12" s="48"/>
      <c r="F12" s="49"/>
      <c r="G12" s="50"/>
      <c r="H12" s="50"/>
      <c r="I12" s="50"/>
      <c r="J12" s="50"/>
      <c r="K12" s="50"/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/>
      <c r="D14" s="12"/>
      <c r="E14" s="12"/>
      <c r="F14" s="12"/>
      <c r="G14" s="26"/>
      <c r="H14" s="26"/>
      <c r="I14" s="26"/>
      <c r="J14" s="26"/>
      <c r="K14" s="26"/>
    </row>
    <row r="15" spans="2:13">
      <c r="B15" s="47" t="s">
        <v>16</v>
      </c>
      <c r="C15" s="48"/>
      <c r="D15" s="48"/>
      <c r="E15" s="48"/>
      <c r="F15" s="49"/>
      <c r="G15" s="50"/>
      <c r="H15" s="50"/>
      <c r="I15" s="50"/>
      <c r="J15" s="50"/>
      <c r="K15" s="50"/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74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12" customHeight="1">
      <c r="B18" s="6" t="s">
        <v>75</v>
      </c>
      <c r="C18" s="12"/>
      <c r="D18" s="12"/>
      <c r="E18" s="12"/>
      <c r="F18" s="12"/>
      <c r="G18" s="26"/>
      <c r="H18" s="26"/>
      <c r="I18" s="26"/>
      <c r="J18" s="26"/>
      <c r="K18" s="26"/>
    </row>
    <row r="19" spans="2:11" ht="12" customHeight="1">
      <c r="B19" s="47" t="s">
        <v>19</v>
      </c>
      <c r="C19" s="48"/>
      <c r="D19" s="48"/>
      <c r="E19" s="48"/>
      <c r="F19" s="49"/>
      <c r="G19" s="50"/>
      <c r="H19" s="50"/>
      <c r="I19" s="50"/>
      <c r="J19" s="50"/>
      <c r="K19" s="50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38"/>
      <c r="D21" s="38"/>
      <c r="E21" s="38"/>
      <c r="F21" s="12"/>
      <c r="G21" s="35"/>
      <c r="H21" s="26"/>
      <c r="I21" s="26"/>
      <c r="J21" s="26"/>
      <c r="K21" s="26"/>
    </row>
    <row r="22" spans="2:11">
      <c r="B22" s="6" t="s">
        <v>76</v>
      </c>
      <c r="C22" s="23"/>
      <c r="D22" s="23"/>
      <c r="E22" s="23"/>
      <c r="F22" s="12"/>
      <c r="G22" s="25"/>
      <c r="H22" s="25"/>
      <c r="I22" s="25"/>
      <c r="J22" s="25"/>
      <c r="K22" s="25"/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5" t="s">
        <v>21</v>
      </c>
      <c r="C24" s="46"/>
      <c r="D24" s="46"/>
      <c r="E24" s="46"/>
      <c r="F24" s="46"/>
      <c r="G24" s="46"/>
      <c r="H24" s="46"/>
      <c r="I24" s="46"/>
      <c r="J24" s="46"/>
      <c r="K24" s="46"/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77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1" t="s">
        <v>31</v>
      </c>
      <c r="C14" s="52"/>
      <c r="D14" s="52"/>
      <c r="E14" s="52"/>
      <c r="F14" s="53"/>
      <c r="G14" s="54"/>
      <c r="H14" s="54"/>
      <c r="I14" s="54"/>
      <c r="J14" s="54"/>
      <c r="K14" s="54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78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79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3" thickBot="1">
      <c r="B23" s="51" t="s">
        <v>80</v>
      </c>
      <c r="C23" s="52"/>
      <c r="D23" s="52"/>
      <c r="E23" s="52"/>
      <c r="F23" s="53"/>
      <c r="G23" s="54"/>
      <c r="H23" s="54"/>
      <c r="I23" s="54"/>
      <c r="J23" s="54"/>
      <c r="K23" s="54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5" t="s">
        <v>63</v>
      </c>
      <c r="C11" s="56"/>
      <c r="D11" s="56"/>
      <c r="E11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/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89</v>
      </c>
      <c r="E3" s="8" t="s">
        <v>90</v>
      </c>
      <c r="F3" s="8" t="s">
        <v>91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2"/>
      <c r="K5" s="42"/>
      <c r="L5" s="42"/>
      <c r="M5" s="42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92</v>
      </c>
      <c r="E3" s="8" t="s">
        <v>93</v>
      </c>
      <c r="F3" s="8" t="s">
        <v>94</v>
      </c>
      <c r="H3" s="7" t="s">
        <v>48</v>
      </c>
      <c r="I3" s="7"/>
      <c r="J3" s="8" t="s">
        <v>92</v>
      </c>
      <c r="K3" s="8" t="s">
        <v>93</v>
      </c>
      <c r="L3" s="8" t="s">
        <v>94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2022-04-01T16:26:24Z</dcterms:modified>
</cp:coreProperties>
</file>