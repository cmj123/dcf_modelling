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filterPrivacy="1" codeName="ThisWorkbook" defaultThemeVersion="124226"/>
  <xr:revisionPtr revIDLastSave="0" documentId="13_ncr:1_{0B124E3A-F236-452C-9EF2-B3F6ACD3A44B}" xr6:coauthVersionLast="41" xr6:coauthVersionMax="41" xr10:uidLastSave="{00000000-0000-0000-0000-000000000000}"/>
  <bookViews>
    <workbookView xWindow="-108" yWindow="-108" windowWidth="23256" windowHeight="13176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externalReferences>
    <externalReference r:id="rId19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<sst xmlns="http://schemas.openxmlformats.org/spreadsheetml/2006/main" count="176" uniqueCount="95">
  <si>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</si>
  <si>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</si>
  <si>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</si>
  <si>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</si>
  <si>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</si>
  <si>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</si>
  <si>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</si>
  <si>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</si>
  <si>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</si>
  <si>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</si>
  <si>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</si>
  <si>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</si>
  <si>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</si>
  <si>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</si>
  <si>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</si>
  <si>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</si>
  <si>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</si>
  <si>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</si>
  <si>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</si>
  <si>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</si>
  <si>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</si>
  <si>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</si>
  <si>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</si>
  <si>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</si>
  <si>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</si>
  <si>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</si>
  <si>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</si>
  <si>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</si>
  <si>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</si>
  <si>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</si>
  <si>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</si>
  <si>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</si>
  <si>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</si>
  <si>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</si>
  <si>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</si>
  <si>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</si>
  <si>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</si>
  <si>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</si>
  <si>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</si>
  <si>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</si>
  <si>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</si>
  <si>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</si>
  <si>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</si>
  <si>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</si>
  <si>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</si>
  <si>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</si>
  <si>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</si>
  <si>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</si>
  <si>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</si>
  <si>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</si>
  <si>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</si>
  <si>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</si>
  <si>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</si>
  <si>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</si>
  <si>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</si>
  <si>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</si>
  <si>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</si>
  <si>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</si>
  <si>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</si>
  <si>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</si>
  <si>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</si>
  <si>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</si>
  <si>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</si>
  <si>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</si>
  <si>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</si>
  <si>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</si>
  <si>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</si>
  <si>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</si>
  <si>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Other revenues</t>
  </si>
  <si>
    <t>Cost of goods sold</t>
  </si>
  <si>
    <t>Operating expenses</t>
  </si>
  <si>
    <t>Trade receivable</t>
  </si>
  <si>
    <t>Total Revenues</t>
  </si>
  <si>
    <t>Gross Margin</t>
  </si>
  <si>
    <t>Interest expenses</t>
  </si>
  <si>
    <t>Extraordinary items</t>
  </si>
  <si>
    <t>Tax rate</t>
  </si>
  <si>
    <t xml:space="preserve"> </t>
  </si>
  <si>
    <t>Financial liabilities</t>
  </si>
  <si>
    <t>Shareholders' equity</t>
  </si>
  <si>
    <t>Total Liabilities &amp; Equities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</si>
  <si>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</si>
  <si>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</si>
  <si>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</si>
  <si>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</si>
  <si>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</si>
  <si>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</si>
  <si>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</si>
  <si>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</si>
  <si>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2016
Act</t>
  </si>
  <si>
    <t>2017
Act</t>
  </si>
  <si>
    <t>2018
Act</t>
  </si>
  <si>
    <t>31Dec16
Act</t>
  </si>
  <si>
    <t>31Dec17
Act</t>
  </si>
  <si>
    <t>31Dec18
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</si>
</sst>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64" formatCode="_(&quot;$&quot;* #,##0_);_(&quot;$&quot;* \(#,##0\);_(&quot;$&quot;* &quot;-&quot;_);_(@_)"/>
    <numFmt numFmtId="165" formatCode="_(* #,##0.00_);_(* \(#,##0.00\);_(* &quot;-&quot;??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#,##0_);\(#,##0\);&quot; - &quot;_);@_)"/>
    <numFmt numFmtId="180" formatCode="\ #,##0.0_);\(#,##0.0\);&quot; - &quot;_);@_)"/>
    <numFmt numFmtId="182" formatCode="_(* #,##0.00_);_(* \(#,##0.00\);_(* &quot;-&quot;?_);@_)"/>
  </numFmts>
  <fonts count="65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8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40"/>
      <color rgb="FF002060"/>
      <name val="Arial"/>
      <family val="2"/>
    </font>
    <font>
      <sz val="40"/>
      <color theme="1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166">
    <xf numFmtId="0" fontId="0" fillId="0" borderId="0"/>
    <xf numFmtId="0" fontId="4" fillId="0" borderId="1" applyFill="0" applyProtection="0">
      <alignment horizontal="right" wrapText="1"/>
    </xf>
    <xf numFmtId="9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11" fillId="0" borderId="0"/>
    <xf numFmtId="0" fontId="11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5" borderId="5"/>
    <xf numFmtId="0" fontId="14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5" fillId="0" borderId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9" borderId="0" applyNumberFormat="0" applyBorder="0" applyAlignment="0" applyProtection="0"/>
    <xf numFmtId="0" fontId="16" fillId="12" borderId="0" applyNumberFormat="0" applyBorder="0" applyAlignment="0" applyProtection="0"/>
    <xf numFmtId="0" fontId="16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23" borderId="0" applyNumberFormat="0" applyBorder="0" applyAlignment="0" applyProtection="0"/>
    <xf numFmtId="0" fontId="11" fillId="0" borderId="0"/>
    <xf numFmtId="0" fontId="18" fillId="7" borderId="0" applyNumberFormat="0" applyBorder="0" applyAlignment="0" applyProtection="0"/>
    <xf numFmtId="0" fontId="19" fillId="24" borderId="6" applyNumberFormat="0" applyAlignment="0" applyProtection="0"/>
    <xf numFmtId="0" fontId="20" fillId="25" borderId="7" applyNumberFormat="0" applyAlignment="0" applyProtection="0"/>
    <xf numFmtId="49" fontId="12" fillId="0" borderId="0">
      <alignment horizontal="left" vertical="top" wrapText="1"/>
    </xf>
    <xf numFmtId="172" fontId="1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8" borderId="0" applyNumberFormat="0" applyBorder="0" applyAlignment="0" applyProtection="0"/>
    <xf numFmtId="38" fontId="12" fillId="26" borderId="0" applyNumberFormat="0" applyBorder="0" applyAlignment="0" applyProtection="0"/>
    <xf numFmtId="0" fontId="23" fillId="0" borderId="8" applyNumberFormat="0" applyFill="0" applyAlignment="0" applyProtection="0"/>
    <xf numFmtId="0" fontId="24" fillId="0" borderId="9" applyNumberFormat="0" applyFill="0" applyAlignment="0" applyProtection="0"/>
    <xf numFmtId="0" fontId="25" fillId="0" borderId="10" applyNumberFormat="0" applyFill="0" applyAlignment="0" applyProtection="0"/>
    <xf numFmtId="0" fontId="25" fillId="0" borderId="0" applyNumberFormat="0" applyFill="0" applyBorder="0" applyAlignment="0" applyProtection="0"/>
    <xf numFmtId="0" fontId="26" fillId="11" borderId="6" applyNumberFormat="0" applyAlignment="0" applyProtection="0"/>
    <xf numFmtId="10" fontId="12" fillId="5" borderId="11" applyNumberFormat="0" applyBorder="0" applyAlignment="0" applyProtection="0"/>
    <xf numFmtId="0" fontId="27" fillId="0" borderId="12" applyNumberFormat="0" applyFill="0" applyAlignment="0" applyProtection="0"/>
    <xf numFmtId="175" fontId="28" fillId="0" borderId="0" applyFont="0" applyFill="0" applyBorder="0" applyAlignment="0" applyProtection="0"/>
    <xf numFmtId="174" fontId="11" fillId="0" borderId="0" applyFont="0" applyFill="0" applyBorder="0" applyAlignment="0" applyProtection="0"/>
    <xf numFmtId="4" fontId="29" fillId="0" borderId="0" applyFont="0" applyFill="0" applyBorder="0" applyAlignment="0" applyProtection="0"/>
    <xf numFmtId="164" fontId="11" fillId="0" borderId="0" applyFont="0" applyFill="0" applyBorder="0" applyAlignment="0" applyProtection="0"/>
    <xf numFmtId="176" fontId="11" fillId="0" borderId="0" applyFont="0" applyFill="0" applyBorder="0" applyAlignment="0" applyProtection="0"/>
    <xf numFmtId="0" fontId="30" fillId="27" borderId="0" applyNumberFormat="0" applyBorder="0" applyAlignment="0" applyProtection="0"/>
    <xf numFmtId="177" fontId="31" fillId="0" borderId="0"/>
    <xf numFmtId="0" fontId="28" fillId="0" borderId="0"/>
    <xf numFmtId="0" fontId="16" fillId="28" borderId="13" applyNumberFormat="0" applyFont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33" fillId="24" borderId="14" applyNumberFormat="0" applyAlignment="0" applyProtection="0"/>
    <xf numFmtId="9" fontId="11" fillId="0" borderId="0" applyFont="0" applyFill="0" applyBorder="0" applyAlignment="0" applyProtection="0"/>
    <xf numFmtId="10" fontId="11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32" fillId="0" borderId="0" applyNumberFormat="0" applyFont="0" applyFill="0" applyBorder="0" applyAlignment="0" applyProtection="0">
      <alignment horizontal="left"/>
    </xf>
    <xf numFmtId="15" fontId="32" fillId="0" borderId="0" applyFont="0" applyFill="0" applyBorder="0" applyAlignment="0" applyProtection="0"/>
    <xf numFmtId="4" fontId="32" fillId="0" borderId="0" applyFont="0" applyFill="0" applyBorder="0" applyAlignment="0" applyProtection="0"/>
    <xf numFmtId="0" fontId="34" fillId="0" borderId="15">
      <alignment horizontal="center"/>
    </xf>
    <xf numFmtId="3" fontId="32" fillId="0" borderId="0" applyFont="0" applyFill="0" applyBorder="0" applyAlignment="0" applyProtection="0"/>
    <xf numFmtId="0" fontId="32" fillId="29" borderId="0" applyNumberFormat="0" applyFont="0" applyBorder="0" applyAlignment="0" applyProtection="0"/>
    <xf numFmtId="3" fontId="44" fillId="30" borderId="0" applyFont="0" applyFill="0" applyBorder="0" applyAlignment="0" applyProtection="0"/>
    <xf numFmtId="4" fontId="35" fillId="31" borderId="14" applyNumberFormat="0" applyProtection="0">
      <alignment vertical="center"/>
    </xf>
    <xf numFmtId="4" fontId="36" fillId="31" borderId="14" applyNumberFormat="0" applyProtection="0">
      <alignment vertical="center"/>
    </xf>
    <xf numFmtId="4" fontId="35" fillId="31" borderId="14" applyNumberFormat="0" applyProtection="0">
      <alignment horizontal="left" vertical="center" indent="1"/>
    </xf>
    <xf numFmtId="4" fontId="35" fillId="31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33" borderId="14" applyNumberFormat="0" applyProtection="0">
      <alignment horizontal="right" vertical="center"/>
    </xf>
    <xf numFmtId="4" fontId="35" fillId="34" borderId="14" applyNumberFormat="0" applyProtection="0">
      <alignment horizontal="right" vertical="center"/>
    </xf>
    <xf numFmtId="4" fontId="35" fillId="35" borderId="14" applyNumberFormat="0" applyProtection="0">
      <alignment horizontal="right" vertical="center"/>
    </xf>
    <xf numFmtId="4" fontId="35" fillId="36" borderId="14" applyNumberFormat="0" applyProtection="0">
      <alignment horizontal="right" vertical="center"/>
    </xf>
    <xf numFmtId="4" fontId="35" fillId="37" borderId="14" applyNumberFormat="0" applyProtection="0">
      <alignment horizontal="right" vertical="center"/>
    </xf>
    <xf numFmtId="4" fontId="35" fillId="38" borderId="14" applyNumberFormat="0" applyProtection="0">
      <alignment horizontal="right" vertical="center"/>
    </xf>
    <xf numFmtId="4" fontId="35" fillId="39" borderId="14" applyNumberFormat="0" applyProtection="0">
      <alignment horizontal="right" vertical="center"/>
    </xf>
    <xf numFmtId="4" fontId="35" fillId="40" borderId="14" applyNumberFormat="0" applyProtection="0">
      <alignment horizontal="right" vertical="center"/>
    </xf>
    <xf numFmtId="4" fontId="35" fillId="41" borderId="14" applyNumberFormat="0" applyProtection="0">
      <alignment horizontal="right" vertical="center"/>
    </xf>
    <xf numFmtId="4" fontId="37" fillId="42" borderId="14" applyNumberFormat="0" applyProtection="0">
      <alignment horizontal="left" vertical="center" indent="1"/>
    </xf>
    <xf numFmtId="4" fontId="35" fillId="43" borderId="16" applyNumberFormat="0" applyProtection="0">
      <alignment horizontal="left" vertical="center" indent="1"/>
    </xf>
    <xf numFmtId="4" fontId="38" fillId="44" borderId="0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43" borderId="14" applyNumberFormat="0" applyProtection="0">
      <alignment horizontal="left" vertical="center" indent="1"/>
    </xf>
    <xf numFmtId="4" fontId="35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5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4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26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4" fontId="35" fillId="5" borderId="14" applyNumberFormat="0" applyProtection="0">
      <alignment vertical="center"/>
    </xf>
    <xf numFmtId="4" fontId="36" fillId="5" borderId="14" applyNumberFormat="0" applyProtection="0">
      <alignment vertical="center"/>
    </xf>
    <xf numFmtId="4" fontId="35" fillId="5" borderId="14" applyNumberFormat="0" applyProtection="0">
      <alignment horizontal="left" vertical="center" indent="1"/>
    </xf>
    <xf numFmtId="4" fontId="35" fillId="5" borderId="14" applyNumberFormat="0" applyProtection="0">
      <alignment horizontal="left" vertical="center" indent="1"/>
    </xf>
    <xf numFmtId="4" fontId="35" fillId="43" borderId="14" applyNumberFormat="0" applyProtection="0">
      <alignment horizontal="right" vertical="center"/>
    </xf>
    <xf numFmtId="4" fontId="36" fillId="43" borderId="14" applyNumberFormat="0" applyProtection="0">
      <alignment horizontal="right" vertical="center"/>
    </xf>
    <xf numFmtId="0" fontId="11" fillId="32" borderId="14" applyNumberFormat="0" applyProtection="0">
      <alignment horizontal="left" vertical="center" indent="1"/>
    </xf>
    <xf numFmtId="0" fontId="11" fillId="32" borderId="14" applyNumberFormat="0" applyProtection="0">
      <alignment horizontal="left" vertical="center" indent="1"/>
    </xf>
    <xf numFmtId="0" fontId="39" fillId="0" borderId="0"/>
    <xf numFmtId="4" fontId="13" fillId="43" borderId="14" applyNumberFormat="0" applyProtection="0">
      <alignment horizontal="right" vertical="center"/>
    </xf>
    <xf numFmtId="0" fontId="11" fillId="0" borderId="0"/>
    <xf numFmtId="0" fontId="40" fillId="0" borderId="0" applyNumberFormat="0" applyFill="0" applyBorder="0" applyAlignment="0" applyProtection="0"/>
    <xf numFmtId="0" fontId="41" fillId="0" borderId="17" applyNumberFormat="0" applyFill="0" applyAlignment="0" applyProtection="0"/>
    <xf numFmtId="3" fontId="42" fillId="0" borderId="2" applyNumberFormat="0"/>
    <xf numFmtId="0" fontId="43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6" fillId="0" borderId="0"/>
    <xf numFmtId="0" fontId="45" fillId="0" borderId="0"/>
    <xf numFmtId="9" fontId="6" fillId="0" borderId="0" applyFont="0" applyFill="0" applyBorder="0" applyAlignment="0" applyProtection="0"/>
    <xf numFmtId="0" fontId="46" fillId="0" borderId="0" applyNumberFormat="0" applyFont="0" applyFill="0" applyBorder="0" applyAlignment="0" applyProtection="0"/>
    <xf numFmtId="0" fontId="47" fillId="0" borderId="0"/>
    <xf numFmtId="0" fontId="48" fillId="0" borderId="0"/>
    <xf numFmtId="178" fontId="49" fillId="0" borderId="0"/>
    <xf numFmtId="178" fontId="11" fillId="0" borderId="0"/>
    <xf numFmtId="178" fontId="51" fillId="0" borderId="0"/>
    <xf numFmtId="0" fontId="52" fillId="0" borderId="0">
      <alignment horizontal="left"/>
    </xf>
    <xf numFmtId="41" fontId="50" fillId="0" borderId="18" applyFill="0" applyBorder="0" applyProtection="0">
      <alignment horizontal="right" vertical="top"/>
    </xf>
    <xf numFmtId="178" fontId="53" fillId="0" borderId="18">
      <alignment horizontal="left"/>
    </xf>
    <xf numFmtId="0" fontId="52" fillId="0" borderId="18">
      <alignment horizontal="right" wrapText="1"/>
    </xf>
    <xf numFmtId="0" fontId="50" fillId="0" borderId="0" applyFill="0" applyBorder="0">
      <alignment horizontal="left" vertical="top" wrapText="1"/>
    </xf>
    <xf numFmtId="179" fontId="50" fillId="0" borderId="0" applyFill="0" applyBorder="0">
      <alignment horizontal="right" vertical="top"/>
    </xf>
    <xf numFmtId="180" fontId="50" fillId="0" borderId="0" applyFill="0" applyBorder="0">
      <alignment horizontal="right" vertical="top"/>
    </xf>
    <xf numFmtId="49" fontId="50" fillId="0" borderId="0" applyNumberFormat="0" applyFill="0" applyBorder="0" applyProtection="0">
      <alignment horizontal="center" vertical="top"/>
    </xf>
    <xf numFmtId="178" fontId="54" fillId="0" borderId="0">
      <alignment horizontal="left" vertical="top"/>
    </xf>
    <xf numFmtId="0" fontId="55" fillId="0" borderId="0"/>
    <xf numFmtId="0" fontId="6" fillId="0" borderId="0"/>
    <xf numFmtId="0" fontId="56" fillId="0" borderId="0"/>
    <xf numFmtId="0" fontId="6" fillId="0" borderId="0"/>
    <xf numFmtId="17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7" fillId="0" borderId="0"/>
    <xf numFmtId="0" fontId="58" fillId="0" borderId="0"/>
    <xf numFmtId="0" fontId="59" fillId="0" borderId="0"/>
    <xf numFmtId="0" fontId="60" fillId="0" borderId="0"/>
    <xf numFmtId="0" fontId="60" fillId="0" borderId="0"/>
    <xf numFmtId="0" fontId="57" fillId="0" borderId="0"/>
    <xf numFmtId="0" fontId="58" fillId="0" borderId="0"/>
    <xf numFmtId="0" fontId="59" fillId="0" borderId="0"/>
    <xf numFmtId="0" fontId="62" fillId="0" borderId="0" applyNumberFormat="0" applyFill="0" applyBorder="0" applyAlignment="0" applyProtection="0"/>
  </cellStyleXfs>
  <cellXfs count="5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1" xfId="1" applyFill="1" applyAlignment="1">
      <alignment horizontal="left" wrapText="1"/>
    </xf>
    <xf numFmtId="0" fontId="5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7" fillId="2" borderId="0" xfId="0" applyNumberFormat="1" applyFont="1" applyFill="1"/>
    <xf numFmtId="166" fontId="5" fillId="2" borderId="4" xfId="0" applyNumberFormat="1" applyFont="1" applyFill="1" applyBorder="1"/>
    <xf numFmtId="166" fontId="5" fillId="2" borderId="4" xfId="0" applyNumberFormat="1" applyFont="1" applyFill="1" applyBorder="1" applyAlignment="1">
      <alignment horizontal="right" wrapText="1"/>
    </xf>
    <xf numFmtId="166" fontId="5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5" fillId="2" borderId="0" xfId="0" applyNumberFormat="1" applyFont="1" applyFill="1" applyAlignment="1">
      <alignment horizontal="right" wrapText="1"/>
    </xf>
    <xf numFmtId="166" fontId="5" fillId="2" borderId="4" xfId="0" applyNumberFormat="1" applyFont="1" applyFill="1" applyBorder="1" applyAlignment="1">
      <alignment wrapText="1"/>
    </xf>
    <xf numFmtId="166" fontId="5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8" fillId="2" borderId="0" xfId="0" applyFont="1" applyFill="1" applyAlignment="1">
      <alignment horizontal="left"/>
    </xf>
    <xf numFmtId="168" fontId="10" fillId="2" borderId="0" xfId="0" applyNumberFormat="1" applyFont="1" applyFill="1"/>
    <xf numFmtId="168" fontId="1" fillId="2" borderId="3" xfId="0" applyNumberFormat="1" applyFont="1" applyFill="1" applyBorder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5" fillId="2" borderId="0" xfId="0" applyNumberFormat="1" applyFont="1" applyFill="1"/>
    <xf numFmtId="166" fontId="10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3" borderId="0" xfId="0" applyNumberFormat="1" applyFont="1" applyFill="1"/>
    <xf numFmtId="169" fontId="7" fillId="2" borderId="0" xfId="2" applyNumberFormat="1" applyFont="1" applyFill="1"/>
    <xf numFmtId="166" fontId="7" fillId="3" borderId="0" xfId="0" applyNumberFormat="1" applyFont="1" applyFill="1"/>
    <xf numFmtId="170" fontId="1" fillId="2" borderId="0" xfId="3" applyNumberFormat="1" applyFont="1" applyFill="1"/>
    <xf numFmtId="0" fontId="61" fillId="4" borderId="0" xfId="0" applyFont="1" applyFill="1" applyAlignment="1">
      <alignment horizontal="left"/>
    </xf>
    <xf numFmtId="0" fontId="9" fillId="4" borderId="0" xfId="0" applyFont="1" applyFill="1"/>
    <xf numFmtId="0" fontId="10" fillId="2" borderId="0" xfId="165" applyFont="1" applyFill="1"/>
    <xf numFmtId="182" fontId="1" fillId="2" borderId="0" xfId="0" applyNumberFormat="1" applyFont="1" applyFill="1"/>
    <xf numFmtId="169" fontId="7" fillId="3" borderId="0" xfId="2" applyNumberFormat="1" applyFont="1" applyFill="1"/>
    <xf numFmtId="169" fontId="7" fillId="3" borderId="0" xfId="0" applyNumberFormat="1" applyFont="1" applyFill="1"/>
    <xf numFmtId="166" fontId="9" fillId="4" borderId="0" xfId="0" applyNumberFormat="1" applyFont="1" applyFill="1"/>
    <xf numFmtId="168" fontId="9" fillId="4" borderId="0" xfId="0" applyNumberFormat="1" applyFont="1" applyFill="1"/>
    <xf numFmtId="166" fontId="5" fillId="2" borderId="19" xfId="0" applyNumberFormat="1" applyFont="1" applyFill="1" applyBorder="1"/>
    <xf numFmtId="168" fontId="5" fillId="2" borderId="19" xfId="0" applyNumberFormat="1" applyFont="1" applyFill="1" applyBorder="1"/>
    <xf numFmtId="166" fontId="10" fillId="2" borderId="19" xfId="0" applyNumberFormat="1" applyFont="1" applyFill="1" applyBorder="1"/>
    <xf numFmtId="168" fontId="1" fillId="3" borderId="19" xfId="0" applyNumberFormat="1" applyFont="1" applyFill="1" applyBorder="1"/>
    <xf numFmtId="166" fontId="5" fillId="2" borderId="20" xfId="0" applyNumberFormat="1" applyFont="1" applyFill="1" applyBorder="1"/>
    <xf numFmtId="168" fontId="5" fillId="2" borderId="20" xfId="0" applyNumberFormat="1" applyFont="1" applyFill="1" applyBorder="1"/>
    <xf numFmtId="168" fontId="1" fillId="2" borderId="20" xfId="0" applyNumberFormat="1" applyFont="1" applyFill="1" applyBorder="1"/>
    <xf numFmtId="168" fontId="5" fillId="3" borderId="20" xfId="0" applyNumberFormat="1" applyFont="1" applyFill="1" applyBorder="1"/>
    <xf numFmtId="0" fontId="63" fillId="2" borderId="0" xfId="0" applyFont="1" applyFill="1"/>
    <xf numFmtId="0" fontId="64" fillId="2" borderId="0" xfId="0" applyFont="1" applyFill="1"/>
  </cellXfs>
  <cellStyles count="166">
    <cellStyle name="%" xfId="135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4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8" xr:uid="{00000000-0005-0000-0000-000038000000}"/>
    <cellStyle name="EY0dp" xfId="146" xr:uid="{00000000-0005-0000-0000-000039000000}"/>
    <cellStyle name="EY1dp" xfId="147" xr:uid="{00000000-0005-0000-0000-00003A000000}"/>
    <cellStyle name="EYChartTitle" xfId="141" xr:uid="{00000000-0005-0000-0000-00003B000000}"/>
    <cellStyle name="EYColumnHeading" xfId="144" xr:uid="{00000000-0005-0000-0000-00003C000000}"/>
    <cellStyle name="EYCurrency" xfId="143" xr:uid="{00000000-0005-0000-0000-00003D000000}"/>
    <cellStyle name="EYnumber" xfId="142" xr:uid="{00000000-0005-0000-0000-00003E000000}"/>
    <cellStyle name="EYSectionHeading" xfId="138" xr:uid="{00000000-0005-0000-0000-00003F000000}"/>
    <cellStyle name="EYSheetHeading" xfId="140" xr:uid="{00000000-0005-0000-0000-000040000000}"/>
    <cellStyle name="EYsmallheading" xfId="139" xr:uid="{00000000-0005-0000-0000-000041000000}"/>
    <cellStyle name="EYSource" xfId="149" xr:uid="{00000000-0005-0000-0000-000042000000}"/>
    <cellStyle name="EYtext" xfId="145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5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0" xr:uid="{00000000-0005-0000-0000-000056000000}"/>
    <cellStyle name="Normal 2 2" xfId="152" xr:uid="{00000000-0005-0000-0000-000057000000}"/>
    <cellStyle name="Normal 3" xfId="151" xr:uid="{00000000-0005-0000-0000-000058000000}"/>
    <cellStyle name="Normal 4" xfId="153" xr:uid="{00000000-0005-0000-0000-000059000000}"/>
    <cellStyle name="Normal 5" xfId="4" xr:uid="{00000000-0005-0000-0000-00005A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5" xr:uid="{00000000-0005-0000-0000-000063000000}"/>
    <cellStyle name="Percent 3" xfId="78" xr:uid="{00000000-0005-0000-0000-000064000000}"/>
    <cellStyle name="Percent 5" xfId="80" xr:uid="{00000000-0005-0000-0000-000065000000}"/>
    <cellStyle name="Prozent 2" xfId="134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6" xr:uid="{00000000-0005-0000-0000-000096000000}"/>
    <cellStyle name="Standard 4" xfId="156" xr:uid="{00000000-0005-0000-0000-000097000000}"/>
    <cellStyle name="Stil 1" xfId="131" xr:uid="{00000000-0005-0000-0000-000098000000}"/>
    <cellStyle name="Style 1" xfId="126" xr:uid="{00000000-0005-0000-0000-000099000000}"/>
    <cellStyle name="Tahoma:10:1" xfId="160" xr:uid="{00000000-0005-0000-0000-00009A000000}"/>
    <cellStyle name="Tahoma:10:129" xfId="161" xr:uid="{00000000-0005-0000-0000-00009B000000}"/>
    <cellStyle name="Tahoma:12:1" xfId="157" xr:uid="{00000000-0005-0000-0000-00009C000000}"/>
    <cellStyle name="Tahoma:12:129" xfId="162" xr:uid="{00000000-0005-0000-0000-00009D000000}"/>
    <cellStyle name="Tahoma:8:0" xfId="158" xr:uid="{00000000-0005-0000-0000-00009E000000}"/>
    <cellStyle name="Tahoma:8:1" xfId="159" xr:uid="{00000000-0005-0000-0000-00009F000000}"/>
    <cellStyle name="Tahoma:8:128" xfId="163" xr:uid="{00000000-0005-0000-0000-0000A0000000}"/>
    <cellStyle name="Tahoma:8:129" xfId="164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7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ew\Desktop\Courses\Video%20creating\Excel\4)%20DCF%20Valuation\DCF%20Valu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1.Input --&gt;"/>
      <sheetName val="P&amp;L assumptions"/>
      <sheetName val="BS assumptions"/>
      <sheetName val="2. Output --&gt;"/>
      <sheetName val="P&amp;L"/>
      <sheetName val="BS"/>
      <sheetName val="Cash Flow"/>
      <sheetName val="DCF valuation"/>
      <sheetName val="3.Charts --&gt;"/>
      <sheetName val="Revenues&amp;Ebitda"/>
      <sheetName val="Cash flows"/>
      <sheetName val="Ebitda bridge"/>
      <sheetName val="Working capital"/>
      <sheetName val="DCF results"/>
      <sheetName val="Sources --&gt;"/>
      <sheetName val="P&amp;L source"/>
      <sheetName val="BS 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K4" t="str">
            <v>EBITDA FY13</v>
          </cell>
          <cell r="L4" t="str">
            <v>Delta Revenues</v>
          </cell>
          <cell r="M4" t="str">
            <v>Delta Cogs</v>
          </cell>
          <cell r="N4" t="str">
            <v>Delta Opex</v>
          </cell>
          <cell r="O4" t="str">
            <v>EBITDA FY14</v>
          </cell>
        </row>
      </sheetData>
      <sheetData sheetId="13">
        <row r="3">
          <cell r="C3" t="str">
            <v>FY11
Actual</v>
          </cell>
          <cell r="D3" t="str">
            <v>FY12
Actual</v>
          </cell>
          <cell r="E3" t="str">
            <v>FY13
Actual</v>
          </cell>
          <cell r="F3">
            <v>0</v>
          </cell>
          <cell r="G3" t="str">
            <v>FY14
Forecast</v>
          </cell>
          <cell r="H3" t="str">
            <v>FY15
Forecast</v>
          </cell>
          <cell r="I3" t="str">
            <v>FY16
Forecast</v>
          </cell>
          <cell r="J3" t="str">
            <v>FY17
Forecast</v>
          </cell>
          <cell r="K3" t="str">
            <v>FY18
Forecast</v>
          </cell>
        </row>
      </sheetData>
      <sheetData sheetId="14">
        <row r="6">
          <cell r="B6" t="str">
            <v>CFs in Forecast period</v>
          </cell>
          <cell r="C6">
            <v>0.30085866160702229</v>
          </cell>
          <cell r="G6" t="str">
            <v>CFs in Forecast period</v>
          </cell>
          <cell r="H6">
            <v>0.31591165336933186</v>
          </cell>
          <cell r="M6" t="str">
            <v>CFs in Forecast period</v>
          </cell>
          <cell r="N6">
            <v>0.33470503116615574</v>
          </cell>
        </row>
        <row r="7">
          <cell r="B7" t="str">
            <v>Continuing Value</v>
          </cell>
          <cell r="C7">
            <v>0.69914133839297776</v>
          </cell>
          <cell r="G7" t="str">
            <v>Continuing Value</v>
          </cell>
          <cell r="H7">
            <v>0.6840883466306682</v>
          </cell>
          <cell r="M7" t="str">
            <v>Continuing Value</v>
          </cell>
          <cell r="N7">
            <v>0.6652949688338442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8" sqref="C18"/>
    </sheetView>
  </sheetViews>
  <sheetFormatPr defaultColWidth="9.109375" defaultRowHeight="11.4"/>
  <cols>
    <col min="1" max="1" width="2" style="1" customWidth="1"/>
    <col min="2" max="2" width="10" style="1" customWidth="1"/>
    <col min="3" max="3" width="26" style="1" customWidth="1"/>
    <col min="4" max="16384" width="9.109375" style="1"/>
  </cols>
  <sheetData>
    <row r="1" spans="2:3" ht="15.6">
      <c r="B1" s="2" t="s">
        <v>4</v>
      </c>
    </row>
    <row r="2" spans="2:3" ht="12">
      <c r="B2" s="4" t="s">
        <v>5</v>
      </c>
    </row>
    <row r="4" spans="2:3" ht="12.6" thickBot="1">
      <c r="B4" s="3" t="s">
        <v>2</v>
      </c>
      <c r="C4" s="3" t="s">
        <v>3</v>
      </c>
    </row>
    <row r="5" spans="2:3" ht="12">
      <c r="B5" s="39">
        <v>1</v>
      </c>
      <c r="C5" s="40" t="s">
        <v>56</v>
      </c>
    </row>
    <row r="6" spans="2:3">
      <c r="B6" s="27">
        <f>B5+1</f>
        <v>2</v>
      </c>
      <c r="C6" s="41" t="s">
        <v>23</v>
      </c>
    </row>
    <row r="7" spans="2:3">
      <c r="B7" s="27">
        <f t="shared" ref="B7:B21" si="0">B6+1</f>
        <v>3</v>
      </c>
      <c r="C7" s="41" t="s">
        <v>24</v>
      </c>
    </row>
    <row r="8" spans="2:3" ht="12">
      <c r="B8" s="39">
        <f t="shared" si="0"/>
        <v>4</v>
      </c>
      <c r="C8" s="40" t="s">
        <v>57</v>
      </c>
    </row>
    <row r="9" spans="2:3">
      <c r="B9" s="27">
        <f t="shared" si="0"/>
        <v>5</v>
      </c>
      <c r="C9" s="41" t="s">
        <v>6</v>
      </c>
    </row>
    <row r="10" spans="2:3">
      <c r="B10" s="27">
        <f t="shared" si="0"/>
        <v>6</v>
      </c>
      <c r="C10" s="41" t="s">
        <v>22</v>
      </c>
    </row>
    <row r="11" spans="2:3">
      <c r="B11" s="27">
        <f t="shared" si="0"/>
        <v>7</v>
      </c>
      <c r="C11" s="41" t="s">
        <v>25</v>
      </c>
    </row>
    <row r="12" spans="2:3">
      <c r="B12" s="27">
        <f t="shared" si="0"/>
        <v>8</v>
      </c>
      <c r="C12" s="41" t="s">
        <v>51</v>
      </c>
    </row>
    <row r="13" spans="2:3" ht="12">
      <c r="B13" s="39">
        <f t="shared" si="0"/>
        <v>9</v>
      </c>
      <c r="C13" s="40" t="s">
        <v>63</v>
      </c>
    </row>
    <row r="14" spans="2:3">
      <c r="B14" s="27">
        <f t="shared" si="0"/>
        <v>10</v>
      </c>
      <c r="C14" s="41" t="s">
        <v>58</v>
      </c>
    </row>
    <row r="15" spans="2:3">
      <c r="B15" s="27">
        <f t="shared" si="0"/>
        <v>11</v>
      </c>
      <c r="C15" s="41" t="s">
        <v>55</v>
      </c>
    </row>
    <row r="16" spans="2:3">
      <c r="B16" s="27">
        <f t="shared" si="0"/>
        <v>12</v>
      </c>
      <c r="C16" s="41" t="s">
        <v>59</v>
      </c>
    </row>
    <row r="17" spans="2:3">
      <c r="B17" s="27">
        <f t="shared" si="0"/>
        <v>13</v>
      </c>
      <c r="C17" s="41" t="s">
        <v>60</v>
      </c>
    </row>
    <row r="18" spans="2:3">
      <c r="B18" s="27">
        <f t="shared" si="0"/>
        <v>14</v>
      </c>
      <c r="C18" s="41" t="s">
        <v>61</v>
      </c>
    </row>
    <row r="19" spans="2:3" ht="12">
      <c r="B19" s="39">
        <f t="shared" si="0"/>
        <v>15</v>
      </c>
      <c r="C19" s="40" t="s">
        <v>62</v>
      </c>
    </row>
    <row r="20" spans="2:3">
      <c r="B20" s="27">
        <f t="shared" si="0"/>
        <v>16</v>
      </c>
      <c r="C20" s="41" t="s">
        <v>1</v>
      </c>
    </row>
    <row r="21" spans="2:3">
      <c r="B21" s="27">
        <f t="shared" si="0"/>
        <v>17</v>
      </c>
      <c r="C21" s="41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workbookViewId="0">
      <selection activeCell="B11" sqref="B11"/>
    </sheetView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50.4">
      <c r="B11" s="55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24"/>
  <sheetViews>
    <sheetView zoomScale="90" zoomScaleNormal="90" workbookViewId="0">
      <pane ySplit="4" topLeftCell="A5" activePane="bottomLeft" state="frozen"/>
      <selection pane="bottomLeft"/>
    </sheetView>
  </sheetViews>
  <sheetFormatPr defaultColWidth="9.109375" defaultRowHeight="11.4"/>
  <cols>
    <col min="1" max="1" width="2" style="6" customWidth="1"/>
    <col min="2" max="2" width="21.88671875" style="6" bestFit="1" customWidth="1"/>
    <col min="3" max="3" width="10.5546875" style="6" bestFit="1" customWidth="1"/>
    <col min="4" max="5" width="9.109375" style="6"/>
    <col min="6" max="6" width="2" style="6" customWidth="1"/>
    <col min="7" max="7" width="11" style="6" bestFit="1" customWidth="1"/>
    <col min="8" max="11" width="10.5546875" style="6" bestFit="1" customWidth="1"/>
    <col min="12" max="12" width="9.109375" style="6"/>
    <col min="13" max="13" width="22.109375" style="6" bestFit="1" customWidth="1"/>
    <col min="14" max="16384" width="9.109375" style="6"/>
  </cols>
  <sheetData>
    <row r="1" spans="2:14" ht="15.6">
      <c r="B1" s="5" t="s">
        <v>23</v>
      </c>
    </row>
    <row r="3" spans="2:14" ht="3.75" customHeight="1"/>
    <row r="4" spans="2:14" ht="24.6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4" ht="12">
      <c r="C5" s="12"/>
      <c r="D5" s="12"/>
      <c r="E5" s="12"/>
      <c r="G5" s="26"/>
      <c r="H5" s="26"/>
      <c r="I5" s="26"/>
      <c r="J5" s="26"/>
      <c r="K5" s="26"/>
      <c r="N5" s="20"/>
    </row>
    <row r="6" spans="2:14">
      <c r="C6" s="34"/>
      <c r="D6" s="24"/>
      <c r="E6" s="24"/>
      <c r="G6" s="25"/>
      <c r="H6" s="25"/>
      <c r="I6" s="25"/>
      <c r="J6" s="25"/>
      <c r="K6" s="25"/>
    </row>
    <row r="7" spans="2:14">
      <c r="G7" s="25"/>
      <c r="H7" s="25"/>
      <c r="I7" s="25"/>
      <c r="J7" s="25"/>
      <c r="K7" s="25"/>
    </row>
    <row r="8" spans="2:14">
      <c r="G8" s="25"/>
      <c r="H8" s="25"/>
      <c r="I8" s="25"/>
      <c r="J8" s="25"/>
      <c r="K8" s="25"/>
    </row>
    <row r="9" spans="2:14">
      <c r="G9" s="25"/>
      <c r="H9" s="25"/>
      <c r="I9" s="25"/>
      <c r="J9" s="25"/>
      <c r="K9" s="25"/>
    </row>
    <row r="10" spans="2:14" ht="3.75" customHeight="1">
      <c r="G10" s="26"/>
      <c r="H10" s="26"/>
      <c r="I10" s="26"/>
      <c r="J10" s="26"/>
      <c r="K10" s="26"/>
    </row>
    <row r="11" spans="2:14">
      <c r="G11" s="26"/>
      <c r="H11" s="26"/>
      <c r="I11" s="26"/>
      <c r="J11" s="26"/>
      <c r="K11" s="26"/>
    </row>
    <row r="12" spans="2:14">
      <c r="G12" s="25"/>
      <c r="H12" s="25"/>
      <c r="I12" s="25"/>
      <c r="J12" s="25"/>
      <c r="K12" s="25"/>
    </row>
    <row r="13" spans="2:14">
      <c r="G13" s="25"/>
      <c r="H13" s="25"/>
      <c r="I13" s="25"/>
      <c r="J13" s="25"/>
      <c r="K13" s="25"/>
    </row>
    <row r="14" spans="2:14">
      <c r="G14" s="25"/>
      <c r="H14" s="25"/>
      <c r="I14" s="25"/>
      <c r="J14" s="25"/>
      <c r="K14" s="25"/>
    </row>
    <row r="15" spans="2:14">
      <c r="G15" s="25"/>
      <c r="H15" s="25"/>
      <c r="I15" s="25"/>
      <c r="J15" s="25"/>
      <c r="K15" s="25"/>
    </row>
    <row r="16" spans="2:14" ht="3.75" customHeight="1">
      <c r="G16" s="26"/>
      <c r="H16" s="26"/>
      <c r="I16" s="26"/>
      <c r="J16" s="26"/>
      <c r="K16" s="26"/>
    </row>
    <row r="17" spans="7:11">
      <c r="G17" s="35"/>
      <c r="H17" s="35"/>
      <c r="I17" s="35"/>
      <c r="J17" s="35"/>
      <c r="K17" s="35"/>
    </row>
    <row r="18" spans="7:11">
      <c r="G18" s="25"/>
      <c r="H18" s="25"/>
      <c r="I18" s="25"/>
      <c r="J18" s="25"/>
      <c r="K18" s="25"/>
    </row>
    <row r="19" spans="7:11">
      <c r="G19" s="25"/>
      <c r="H19" s="25"/>
      <c r="I19" s="25"/>
      <c r="J19" s="25"/>
      <c r="K19" s="25"/>
    </row>
    <row r="20" spans="7:11">
      <c r="G20" s="25"/>
      <c r="H20" s="25"/>
      <c r="I20" s="25"/>
      <c r="J20" s="25"/>
      <c r="K20" s="25"/>
    </row>
    <row r="21" spans="7:11" ht="12" customHeight="1">
      <c r="G21" s="25"/>
      <c r="H21" s="25"/>
      <c r="I21" s="25"/>
      <c r="J21" s="25"/>
      <c r="K21" s="25"/>
    </row>
    <row r="22" spans="7:11" ht="3.75" customHeight="1">
      <c r="G22" s="26"/>
      <c r="H22" s="26"/>
      <c r="I22" s="26"/>
      <c r="J22" s="26"/>
      <c r="K22" s="26"/>
    </row>
    <row r="23" spans="7:11" ht="12" customHeight="1">
      <c r="G23" s="35"/>
      <c r="H23" s="35"/>
      <c r="I23" s="35"/>
      <c r="J23" s="35"/>
      <c r="K23" s="35"/>
    </row>
    <row r="24" spans="7:11" ht="12" customHeight="1">
      <c r="G24" s="25"/>
      <c r="H24" s="25"/>
      <c r="I24" s="25"/>
      <c r="J24" s="25"/>
      <c r="K24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Normal="100" workbookViewId="0"/>
  </sheetViews>
  <sheetFormatPr defaultColWidth="9.109375" defaultRowHeight="11.4"/>
  <cols>
    <col min="1" max="1" width="2" style="6" customWidth="1"/>
    <col min="2" max="2" width="19.109375" style="6" customWidth="1"/>
    <col min="3" max="3" width="12.33203125" style="6" bestFit="1" customWidth="1"/>
    <col min="4" max="4" width="9.109375" style="6"/>
    <col min="5" max="5" width="10" style="6" bestFit="1" customWidth="1"/>
    <col min="6" max="6" width="2" style="6" customWidth="1"/>
    <col min="7" max="7" width="11" style="6" bestFit="1" customWidth="1"/>
    <col min="8" max="16384" width="9.109375" style="6"/>
  </cols>
  <sheetData>
    <row r="1" spans="2:11" ht="15.6">
      <c r="B1" s="5" t="s">
        <v>24</v>
      </c>
    </row>
    <row r="3" spans="2:11" ht="3.75" customHeight="1"/>
    <row r="4" spans="2:11" ht="24.6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</row>
    <row r="5" spans="2:11">
      <c r="C5" s="12"/>
      <c r="D5" s="12"/>
      <c r="E5" s="12"/>
      <c r="G5" s="26"/>
      <c r="H5" s="26"/>
      <c r="I5" s="26"/>
      <c r="J5" s="26"/>
      <c r="K5" s="26"/>
    </row>
    <row r="6" spans="2:11">
      <c r="B6" s="15"/>
      <c r="C6" s="15"/>
      <c r="D6" s="15"/>
      <c r="E6" s="15"/>
      <c r="G6" s="37"/>
      <c r="H6" s="37"/>
      <c r="I6" s="37"/>
      <c r="J6" s="37"/>
      <c r="K6" s="37"/>
    </row>
    <row r="7" spans="2:11">
      <c r="C7" s="12"/>
      <c r="D7" s="12"/>
      <c r="E7" s="12"/>
      <c r="G7" s="19"/>
      <c r="H7" s="19"/>
      <c r="I7" s="19"/>
      <c r="J7" s="19"/>
      <c r="K7" s="19"/>
    </row>
    <row r="8" spans="2:11">
      <c r="C8" s="12"/>
      <c r="D8" s="12"/>
      <c r="E8" s="12"/>
      <c r="G8" s="26"/>
      <c r="H8" s="26"/>
      <c r="I8" s="26"/>
      <c r="J8" s="26"/>
      <c r="K8" s="26"/>
    </row>
    <row r="9" spans="2:11">
      <c r="B9" s="15"/>
      <c r="C9" s="15"/>
      <c r="D9" s="15"/>
      <c r="E9" s="15"/>
      <c r="G9" s="37"/>
      <c r="H9" s="37"/>
      <c r="I9" s="37"/>
      <c r="J9" s="37"/>
      <c r="K9" s="37"/>
    </row>
    <row r="10" spans="2:11">
      <c r="C10" s="12"/>
      <c r="D10" s="12"/>
      <c r="E10" s="12"/>
      <c r="G10" s="19"/>
      <c r="H10" s="19"/>
      <c r="I10" s="19"/>
      <c r="J10" s="19"/>
      <c r="K10" s="19"/>
    </row>
    <row r="11" spans="2:11">
      <c r="C11" s="12"/>
      <c r="D11" s="12"/>
      <c r="E11" s="12"/>
      <c r="G11" s="26"/>
      <c r="H11" s="26"/>
      <c r="I11" s="26"/>
      <c r="J11" s="26"/>
      <c r="K11" s="26"/>
    </row>
    <row r="12" spans="2:11">
      <c r="B12" s="15"/>
      <c r="C12" s="15"/>
      <c r="D12" s="15"/>
      <c r="E12" s="15"/>
      <c r="G12" s="37"/>
      <c r="H12" s="37"/>
      <c r="I12" s="37"/>
      <c r="J12" s="37"/>
      <c r="K12" s="37"/>
    </row>
    <row r="13" spans="2:11">
      <c r="C13" s="12"/>
      <c r="D13" s="12"/>
      <c r="E13" s="12"/>
      <c r="G13" s="19"/>
      <c r="H13" s="19"/>
      <c r="I13" s="19"/>
      <c r="J13" s="19"/>
      <c r="K13" s="19"/>
    </row>
    <row r="14" spans="2:11">
      <c r="C14" s="12"/>
      <c r="D14" s="12"/>
      <c r="E14" s="12"/>
      <c r="G14" s="26"/>
      <c r="H14" s="26"/>
      <c r="I14" s="26"/>
      <c r="J14" s="26"/>
      <c r="K14" s="26"/>
    </row>
    <row r="15" spans="2:11">
      <c r="B15" s="15"/>
      <c r="C15" s="36"/>
      <c r="D15" s="36"/>
      <c r="E15" s="36"/>
      <c r="G15" s="43"/>
      <c r="H15" s="43"/>
      <c r="I15" s="43"/>
      <c r="J15" s="43"/>
      <c r="K15" s="43"/>
    </row>
    <row r="16" spans="2:11">
      <c r="C16" s="12"/>
      <c r="D16" s="12"/>
      <c r="E16" s="12"/>
      <c r="G16" s="44"/>
      <c r="H16" s="44"/>
      <c r="I16" s="44"/>
      <c r="J16" s="44"/>
      <c r="K16" s="44"/>
    </row>
    <row r="17" spans="2:11">
      <c r="C17" s="12"/>
      <c r="D17" s="12"/>
      <c r="E17" s="12"/>
      <c r="G17" s="26"/>
      <c r="H17" s="26"/>
      <c r="I17" s="26"/>
      <c r="J17" s="26"/>
      <c r="K17" s="26"/>
    </row>
    <row r="18" spans="2:11">
      <c r="B18" s="15"/>
      <c r="C18" s="36"/>
      <c r="D18" s="36"/>
      <c r="E18" s="36"/>
      <c r="G18" s="43"/>
      <c r="H18" s="43"/>
      <c r="I18" s="43"/>
      <c r="J18" s="43"/>
      <c r="K18" s="43"/>
    </row>
    <row r="19" spans="2:11">
      <c r="C19" s="12"/>
      <c r="D19" s="12"/>
      <c r="E19" s="12"/>
      <c r="G19" s="44"/>
      <c r="H19" s="44"/>
      <c r="I19" s="44"/>
      <c r="J19" s="44"/>
      <c r="K19" s="44"/>
    </row>
    <row r="20" spans="2:11">
      <c r="C20" s="12"/>
      <c r="D20" s="12"/>
      <c r="E20" s="12"/>
      <c r="G20" s="26"/>
      <c r="H20" s="26"/>
      <c r="I20" s="26"/>
      <c r="J20" s="26"/>
      <c r="K20" s="26"/>
    </row>
    <row r="21" spans="2:11">
      <c r="B21" s="15"/>
      <c r="C21" s="36"/>
      <c r="D21" s="36"/>
      <c r="E21" s="36"/>
      <c r="G21" s="43"/>
      <c r="H21" s="43"/>
      <c r="I21" s="43"/>
      <c r="J21" s="43"/>
      <c r="K21" s="4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50.4">
      <c r="B11" s="55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workbookViewId="0"/>
  </sheetViews>
  <sheetFormatPr defaultColWidth="9.109375" defaultRowHeight="11.4"/>
  <cols>
    <col min="1" max="1" width="2" style="6" customWidth="1"/>
    <col min="2" max="2" width="18.33203125" style="6" bestFit="1" customWidth="1"/>
    <col min="3" max="3" width="10.5546875" style="6" bestFit="1" customWidth="1"/>
    <col min="4" max="5" width="9.109375" style="6"/>
    <col min="6" max="6" width="2" style="6" customWidth="1"/>
    <col min="7" max="7" width="10.5546875" style="6" bestFit="1" customWidth="1"/>
    <col min="8" max="11" width="9.109375" style="6"/>
    <col min="12" max="12" width="2" style="6" customWidth="1"/>
    <col min="13" max="16384" width="9.109375" style="6"/>
  </cols>
  <sheetData>
    <row r="1" spans="2:13" ht="15.6">
      <c r="B1" s="5" t="s">
        <v>6</v>
      </c>
    </row>
    <row r="3" spans="2:13" ht="24.6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67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68</v>
      </c>
      <c r="C5" s="12"/>
      <c r="D5" s="12"/>
      <c r="E5" s="12"/>
      <c r="G5" s="26"/>
      <c r="H5" s="26"/>
      <c r="I5" s="26"/>
      <c r="J5" s="26"/>
      <c r="K5" s="26"/>
    </row>
    <row r="6" spans="2:13" ht="12">
      <c r="B6" s="47" t="s">
        <v>72</v>
      </c>
      <c r="C6" s="48"/>
      <c r="D6" s="48"/>
      <c r="E6" s="48"/>
      <c r="F6" s="49"/>
      <c r="G6" s="50"/>
      <c r="H6" s="50"/>
      <c r="I6" s="50"/>
      <c r="J6" s="50"/>
      <c r="K6" s="50"/>
    </row>
    <row r="7" spans="2:13" ht="3.75" customHeight="1">
      <c r="B7" s="22"/>
      <c r="C7" s="32"/>
      <c r="D7" s="32"/>
      <c r="E7" s="32"/>
      <c r="F7" s="33"/>
      <c r="G7" s="26"/>
      <c r="H7" s="26"/>
      <c r="I7" s="26"/>
      <c r="J7" s="26"/>
      <c r="K7" s="26"/>
    </row>
    <row r="8" spans="2:13">
      <c r="B8" s="6" t="s">
        <v>69</v>
      </c>
      <c r="C8" s="12"/>
      <c r="D8" s="12"/>
      <c r="E8" s="12"/>
      <c r="G8" s="26"/>
      <c r="H8" s="26"/>
      <c r="I8" s="26"/>
      <c r="J8" s="26"/>
      <c r="K8" s="26"/>
    </row>
    <row r="9" spans="2:13" ht="12">
      <c r="B9" s="47" t="s">
        <v>73</v>
      </c>
      <c r="C9" s="48"/>
      <c r="D9" s="48"/>
      <c r="E9" s="48"/>
      <c r="F9" s="49"/>
      <c r="G9" s="50"/>
      <c r="H9" s="50"/>
      <c r="I9" s="50"/>
      <c r="J9" s="50"/>
      <c r="K9" s="50"/>
    </row>
    <row r="10" spans="2:13" ht="3.75" customHeight="1">
      <c r="G10" s="26"/>
      <c r="H10" s="26"/>
      <c r="I10" s="26"/>
      <c r="J10" s="26"/>
      <c r="K10" s="26"/>
    </row>
    <row r="11" spans="2:13">
      <c r="B11" s="6" t="s">
        <v>70</v>
      </c>
      <c r="C11" s="12"/>
      <c r="D11" s="12"/>
      <c r="E11" s="12"/>
      <c r="F11" s="12"/>
      <c r="G11" s="26"/>
      <c r="H11" s="26"/>
      <c r="I11" s="26"/>
      <c r="J11" s="26"/>
      <c r="K11" s="26"/>
    </row>
    <row r="12" spans="2:13" ht="12">
      <c r="B12" s="47" t="s">
        <v>14</v>
      </c>
      <c r="C12" s="48"/>
      <c r="D12" s="48"/>
      <c r="E12" s="48"/>
      <c r="F12" s="49"/>
      <c r="G12" s="50"/>
      <c r="H12" s="50"/>
      <c r="I12" s="50"/>
      <c r="J12" s="50"/>
      <c r="K12" s="50"/>
    </row>
    <row r="13" spans="2:13" ht="3.75" customHeight="1">
      <c r="C13" s="12"/>
      <c r="D13" s="12"/>
      <c r="E13" s="12"/>
      <c r="F13" s="12"/>
      <c r="G13" s="26"/>
      <c r="H13" s="26"/>
      <c r="I13" s="26"/>
      <c r="J13" s="26"/>
      <c r="K13" s="26"/>
    </row>
    <row r="14" spans="2:13">
      <c r="B14" s="6" t="s">
        <v>15</v>
      </c>
      <c r="C14" s="12"/>
      <c r="D14" s="12"/>
      <c r="E14" s="12"/>
      <c r="F14" s="12"/>
      <c r="G14" s="26"/>
      <c r="H14" s="26"/>
      <c r="I14" s="26"/>
      <c r="J14" s="26"/>
      <c r="K14" s="26"/>
    </row>
    <row r="15" spans="2:13" ht="12">
      <c r="B15" s="47" t="s">
        <v>16</v>
      </c>
      <c r="C15" s="48"/>
      <c r="D15" s="48"/>
      <c r="E15" s="48"/>
      <c r="F15" s="49"/>
      <c r="G15" s="50"/>
      <c r="H15" s="50"/>
      <c r="I15" s="50"/>
      <c r="J15" s="50"/>
      <c r="K15" s="50"/>
    </row>
    <row r="16" spans="2:13" ht="3.75" customHeight="1">
      <c r="B16" s="22"/>
      <c r="C16" s="28"/>
      <c r="D16" s="28"/>
      <c r="E16" s="28"/>
      <c r="F16" s="28"/>
      <c r="G16" s="26"/>
      <c r="H16" s="26"/>
      <c r="I16" s="26"/>
      <c r="J16" s="26"/>
      <c r="K16" s="26"/>
    </row>
    <row r="17" spans="2:11" ht="12" customHeight="1">
      <c r="B17" s="6" t="s">
        <v>74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12" customHeight="1">
      <c r="B18" s="6" t="s">
        <v>75</v>
      </c>
      <c r="C18" s="12"/>
      <c r="D18" s="12"/>
      <c r="E18" s="12"/>
      <c r="F18" s="12"/>
      <c r="G18" s="26"/>
      <c r="H18" s="26"/>
      <c r="I18" s="26"/>
      <c r="J18" s="26"/>
      <c r="K18" s="26"/>
    </row>
    <row r="19" spans="2:11" ht="12" customHeight="1">
      <c r="B19" s="47" t="s">
        <v>19</v>
      </c>
      <c r="C19" s="48"/>
      <c r="D19" s="48"/>
      <c r="E19" s="48"/>
      <c r="F19" s="49"/>
      <c r="G19" s="50"/>
      <c r="H19" s="50"/>
      <c r="I19" s="50"/>
      <c r="J19" s="50"/>
      <c r="K19" s="50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20</v>
      </c>
      <c r="C21" s="38"/>
      <c r="D21" s="38"/>
      <c r="E21" s="38"/>
      <c r="F21" s="12"/>
      <c r="G21" s="35"/>
      <c r="H21" s="26"/>
      <c r="I21" s="26"/>
      <c r="J21" s="26"/>
      <c r="K21" s="26"/>
    </row>
    <row r="22" spans="2:11">
      <c r="B22" s="6" t="s">
        <v>76</v>
      </c>
      <c r="C22" s="23"/>
      <c r="D22" s="23"/>
      <c r="E22" s="23"/>
      <c r="F22" s="12"/>
      <c r="G22" s="25"/>
      <c r="H22" s="25"/>
      <c r="I22" s="25"/>
      <c r="J22" s="25"/>
      <c r="K22" s="25"/>
    </row>
    <row r="23" spans="2:11" ht="3.75" customHeight="1">
      <c r="C23" s="12"/>
      <c r="D23" s="12"/>
      <c r="E23" s="12"/>
      <c r="F23" s="12"/>
      <c r="G23" s="19"/>
      <c r="H23" s="19"/>
      <c r="I23" s="19"/>
      <c r="J23" s="19"/>
      <c r="K23" s="19"/>
    </row>
    <row r="24" spans="2:11" ht="12">
      <c r="B24" s="45" t="s">
        <v>21</v>
      </c>
      <c r="C24" s="46"/>
      <c r="D24" s="46"/>
      <c r="E24" s="46"/>
      <c r="F24" s="46"/>
      <c r="G24" s="46"/>
      <c r="H24" s="46"/>
      <c r="I24" s="46"/>
      <c r="J24" s="46"/>
      <c r="K24" s="46"/>
    </row>
    <row r="25" spans="2:11">
      <c r="C25" s="12"/>
      <c r="D25" s="12"/>
      <c r="E25" s="12"/>
      <c r="F25" s="12"/>
    </row>
    <row r="26" spans="2:11">
      <c r="C26" s="12"/>
      <c r="D26" s="12"/>
      <c r="E26" s="12"/>
      <c r="F26" s="12"/>
    </row>
    <row r="27" spans="2:11">
      <c r="C27" s="12"/>
      <c r="D27" s="12"/>
      <c r="E27" s="12"/>
      <c r="F27" s="12"/>
    </row>
    <row r="28" spans="2:11">
      <c r="C28" s="12"/>
      <c r="D28" s="12"/>
      <c r="E28" s="12"/>
      <c r="F28" s="12"/>
      <c r="K28" s="6" t="s">
        <v>77</v>
      </c>
    </row>
    <row r="56" spans="2:2">
      <c r="B56" s="6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6"/>
  <sheetViews>
    <sheetView workbookViewId="0"/>
  </sheetViews>
  <sheetFormatPr defaultColWidth="9.109375" defaultRowHeight="11.4"/>
  <cols>
    <col min="1" max="1" width="2" style="6" customWidth="1"/>
    <col min="2" max="2" width="22.6640625" style="6" bestFit="1" customWidth="1"/>
    <col min="3" max="3" width="9.109375" style="6"/>
    <col min="4" max="4" width="9.5546875" style="6" bestFit="1" customWidth="1"/>
    <col min="5" max="5" width="9.109375" style="6"/>
    <col min="6" max="6" width="2" style="6" customWidth="1"/>
    <col min="7" max="7" width="9.5546875" style="6" bestFit="1" customWidth="1"/>
    <col min="8" max="11" width="9.109375" style="6"/>
    <col min="12" max="12" width="2" style="6" customWidth="1"/>
    <col min="13" max="16384" width="9.109375" style="6"/>
  </cols>
  <sheetData>
    <row r="1" spans="2:13" ht="15.6">
      <c r="B1" s="5" t="s">
        <v>53</v>
      </c>
    </row>
    <row r="3" spans="2:13" ht="24.6" thickBot="1">
      <c r="B3" s="16" t="s">
        <v>47</v>
      </c>
      <c r="C3" s="17" t="s">
        <v>81</v>
      </c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M3" s="21" t="s">
        <v>52</v>
      </c>
    </row>
    <row r="4" spans="2:13">
      <c r="B4" s="6" t="s">
        <v>26</v>
      </c>
      <c r="C4" s="12"/>
      <c r="D4" s="12"/>
      <c r="E4" s="12"/>
      <c r="G4" s="26"/>
      <c r="H4" s="26"/>
      <c r="I4" s="26"/>
      <c r="J4" s="26"/>
      <c r="K4" s="26"/>
    </row>
    <row r="5" spans="2:13">
      <c r="B5" s="6" t="s">
        <v>37</v>
      </c>
      <c r="C5" s="12"/>
      <c r="D5" s="12"/>
      <c r="E5" s="12"/>
      <c r="G5" s="26"/>
      <c r="H5" s="26"/>
      <c r="I5" s="26"/>
      <c r="J5" s="26"/>
      <c r="K5" s="26"/>
    </row>
    <row r="6" spans="2:13">
      <c r="B6" s="6" t="s">
        <v>46</v>
      </c>
      <c r="C6" s="12"/>
      <c r="D6" s="12"/>
      <c r="E6" s="12"/>
      <c r="G6" s="26"/>
      <c r="H6" s="26"/>
      <c r="I6" s="26"/>
      <c r="J6" s="26"/>
      <c r="K6" s="26"/>
    </row>
    <row r="7" spans="2:13" ht="3.75" customHeight="1">
      <c r="C7" s="12"/>
      <c r="D7" s="12"/>
      <c r="E7" s="12"/>
      <c r="G7" s="26"/>
      <c r="H7" s="26"/>
      <c r="I7" s="26"/>
      <c r="J7" s="26"/>
      <c r="K7" s="26"/>
    </row>
    <row r="8" spans="2:13">
      <c r="B8" s="6" t="s">
        <v>29</v>
      </c>
      <c r="C8" s="12"/>
      <c r="D8" s="12"/>
      <c r="E8" s="12"/>
      <c r="G8" s="26"/>
      <c r="H8" s="26"/>
      <c r="I8" s="26"/>
      <c r="J8" s="26"/>
      <c r="K8" s="26"/>
    </row>
    <row r="9" spans="2:13">
      <c r="B9" s="6" t="s">
        <v>71</v>
      </c>
      <c r="C9" s="12"/>
      <c r="D9" s="12"/>
      <c r="E9" s="12"/>
      <c r="G9" s="26"/>
      <c r="H9" s="26"/>
      <c r="I9" s="26"/>
      <c r="J9" s="26"/>
      <c r="K9" s="26"/>
    </row>
    <row r="10" spans="2:13">
      <c r="B10" s="6" t="s">
        <v>28</v>
      </c>
      <c r="C10" s="12"/>
      <c r="D10" s="12"/>
      <c r="E10" s="12"/>
      <c r="G10" s="26"/>
      <c r="H10" s="26"/>
      <c r="I10" s="26"/>
      <c r="J10" s="26"/>
      <c r="K10" s="26"/>
    </row>
    <row r="11" spans="2:13" ht="3.75" customHeight="1">
      <c r="C11" s="12"/>
      <c r="D11" s="12"/>
      <c r="E11" s="12"/>
      <c r="G11" s="26"/>
      <c r="H11" s="26"/>
      <c r="I11" s="26"/>
      <c r="J11" s="26"/>
      <c r="K11" s="26"/>
    </row>
    <row r="12" spans="2:13">
      <c r="B12" s="6" t="s">
        <v>30</v>
      </c>
      <c r="C12" s="12"/>
      <c r="D12" s="12"/>
      <c r="E12" s="12"/>
      <c r="G12" s="26"/>
      <c r="H12" s="26"/>
      <c r="I12" s="26"/>
      <c r="J12" s="26"/>
      <c r="K12" s="26"/>
    </row>
    <row r="13" spans="2:13" ht="3.75" customHeight="1">
      <c r="G13" s="26"/>
      <c r="H13" s="26"/>
      <c r="I13" s="26"/>
      <c r="J13" s="26"/>
      <c r="K13" s="26"/>
    </row>
    <row r="14" spans="2:13" ht="12.6" thickBot="1">
      <c r="B14" s="51" t="s">
        <v>31</v>
      </c>
      <c r="C14" s="52"/>
      <c r="D14" s="52"/>
      <c r="E14" s="52"/>
      <c r="F14" s="53"/>
      <c r="G14" s="54"/>
      <c r="H14" s="54"/>
      <c r="I14" s="54"/>
      <c r="J14" s="54"/>
      <c r="K14" s="54"/>
    </row>
    <row r="15" spans="2:13">
      <c r="C15" s="12"/>
      <c r="D15" s="12"/>
      <c r="E15" s="12"/>
      <c r="F15" s="12"/>
      <c r="G15" s="26"/>
      <c r="H15" s="26"/>
      <c r="I15" s="26"/>
      <c r="J15" s="26"/>
      <c r="K15" s="26"/>
    </row>
    <row r="16" spans="2:13">
      <c r="B16" s="6" t="s">
        <v>38</v>
      </c>
      <c r="C16" s="12"/>
      <c r="D16" s="12"/>
      <c r="E16" s="12"/>
      <c r="F16" s="12"/>
      <c r="G16" s="26"/>
      <c r="H16" s="26"/>
      <c r="I16" s="26"/>
      <c r="J16" s="26"/>
      <c r="K16" s="26"/>
    </row>
    <row r="17" spans="2:11">
      <c r="B17" s="6" t="s">
        <v>39</v>
      </c>
      <c r="C17" s="12"/>
      <c r="D17" s="12"/>
      <c r="E17" s="12"/>
      <c r="F17" s="12"/>
      <c r="G17" s="26"/>
      <c r="H17" s="26"/>
      <c r="I17" s="26"/>
      <c r="J17" s="26"/>
      <c r="K17" s="26"/>
    </row>
    <row r="18" spans="2:11" ht="3.75" customHeight="1">
      <c r="C18" s="12"/>
      <c r="D18" s="12"/>
      <c r="E18" s="12"/>
      <c r="F18" s="12"/>
      <c r="G18" s="26"/>
      <c r="H18" s="26"/>
      <c r="I18" s="26"/>
      <c r="J18" s="26"/>
      <c r="K18" s="26"/>
    </row>
    <row r="19" spans="2:11">
      <c r="B19" s="6" t="s">
        <v>78</v>
      </c>
      <c r="C19" s="12"/>
      <c r="D19" s="12"/>
      <c r="E19" s="12"/>
      <c r="F19" s="12"/>
      <c r="G19" s="26"/>
      <c r="H19" s="26"/>
      <c r="I19" s="26"/>
      <c r="J19" s="26"/>
      <c r="K19" s="26"/>
    </row>
    <row r="20" spans="2:11" ht="3.75" customHeight="1">
      <c r="C20" s="12"/>
      <c r="D20" s="12"/>
      <c r="E20" s="12"/>
      <c r="F20" s="12"/>
      <c r="G20" s="26"/>
      <c r="H20" s="26"/>
      <c r="I20" s="26"/>
      <c r="J20" s="26"/>
      <c r="K20" s="26"/>
    </row>
    <row r="21" spans="2:11">
      <c r="B21" s="6" t="s">
        <v>79</v>
      </c>
      <c r="C21" s="12"/>
      <c r="D21" s="12"/>
      <c r="E21" s="12"/>
      <c r="F21" s="12"/>
      <c r="G21" s="26"/>
      <c r="H21" s="26"/>
      <c r="I21" s="26"/>
      <c r="J21" s="26"/>
      <c r="K21" s="26"/>
    </row>
    <row r="22" spans="2:11" ht="3.75" customHeight="1">
      <c r="C22" s="12"/>
      <c r="D22" s="12"/>
      <c r="E22" s="12"/>
      <c r="F22" s="12"/>
      <c r="G22" s="26"/>
      <c r="H22" s="26"/>
      <c r="I22" s="26"/>
      <c r="J22" s="26"/>
      <c r="K22" s="26"/>
    </row>
    <row r="23" spans="2:11" ht="12.6" thickBot="1">
      <c r="B23" s="51" t="s">
        <v>80</v>
      </c>
      <c r="C23" s="52"/>
      <c r="D23" s="52"/>
      <c r="E23" s="52"/>
      <c r="F23" s="53"/>
      <c r="G23" s="54"/>
      <c r="H23" s="54"/>
      <c r="I23" s="54"/>
      <c r="J23" s="54"/>
      <c r="K23" s="54"/>
    </row>
    <row r="24" spans="2:11">
      <c r="G24" s="12"/>
      <c r="H24" s="12"/>
      <c r="I24" s="12"/>
      <c r="J24" s="12"/>
      <c r="K24" s="12"/>
    </row>
    <row r="25" spans="2:11">
      <c r="G25" s="12"/>
      <c r="H25" s="12"/>
      <c r="I25" s="12"/>
      <c r="J25" s="12"/>
      <c r="K25" s="12"/>
    </row>
    <row r="26" spans="2:11">
      <c r="G26" s="12"/>
      <c r="H26" s="12"/>
      <c r="I26" s="12"/>
      <c r="J26" s="12"/>
      <c r="K26" s="1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"/>
  <sheetViews>
    <sheetView workbookViewId="0"/>
  </sheetViews>
  <sheetFormatPr defaultColWidth="9.109375" defaultRowHeight="11.4"/>
  <cols>
    <col min="1" max="1" width="2" style="10" customWidth="1"/>
    <col min="2" max="2" width="31.5546875" style="10" bestFit="1" customWidth="1"/>
    <col min="3" max="3" width="9.109375" style="10" customWidth="1"/>
    <col min="4" max="4" width="9.5546875" style="10" bestFit="1" customWidth="1"/>
    <col min="5" max="5" width="9.109375" style="10"/>
    <col min="6" max="6" width="2" style="10" customWidth="1"/>
    <col min="7" max="11" width="9.109375" style="10"/>
    <col min="12" max="12" width="2" style="10" customWidth="1"/>
    <col min="13" max="16384" width="9.109375" style="10"/>
  </cols>
  <sheetData>
    <row r="1" spans="2:13" ht="15.6">
      <c r="B1" s="11" t="s">
        <v>25</v>
      </c>
      <c r="C1" s="11"/>
    </row>
    <row r="2" spans="2:13">
      <c r="B2" s="10" t="s">
        <v>66</v>
      </c>
    </row>
    <row r="3" spans="2:13" ht="24.6" thickBot="1">
      <c r="B3" s="16" t="s">
        <v>47</v>
      </c>
      <c r="C3" s="17"/>
      <c r="D3" s="17" t="s">
        <v>82</v>
      </c>
      <c r="E3" s="17" t="s">
        <v>83</v>
      </c>
      <c r="F3" s="20"/>
      <c r="G3" s="18" t="s">
        <v>84</v>
      </c>
      <c r="H3" s="18" t="s">
        <v>85</v>
      </c>
      <c r="I3" s="18" t="s">
        <v>86</v>
      </c>
      <c r="J3" s="18" t="s">
        <v>87</v>
      </c>
      <c r="K3" s="18" t="s">
        <v>88</v>
      </c>
      <c r="L3" s="6"/>
      <c r="M3" s="21" t="s">
        <v>52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4"/>
  <sheetViews>
    <sheetView workbookViewId="0"/>
  </sheetViews>
  <sheetFormatPr defaultColWidth="9.109375" defaultRowHeight="11.4"/>
  <cols>
    <col min="1" max="1" width="2" style="6" customWidth="1"/>
    <col min="2" max="2" width="22.6640625" style="6" customWidth="1"/>
    <col min="3" max="3" width="10" style="6" bestFit="1" customWidth="1"/>
    <col min="4" max="4" width="9.109375" style="6"/>
    <col min="5" max="5" width="11.5546875" style="6" bestFit="1" customWidth="1"/>
    <col min="6" max="6" width="2" style="6" customWidth="1"/>
    <col min="7" max="7" width="10" style="6" bestFit="1" customWidth="1"/>
    <col min="8" max="11" width="9.109375" style="6"/>
    <col min="12" max="12" width="2" style="6" customWidth="1"/>
    <col min="13" max="16384" width="9.109375" style="6"/>
  </cols>
  <sheetData>
    <row r="1" spans="2:13" ht="15.6">
      <c r="B1" s="5" t="s">
        <v>4</v>
      </c>
    </row>
    <row r="4" spans="2:13" ht="24.6" thickBot="1">
      <c r="B4" s="16" t="s">
        <v>47</v>
      </c>
      <c r="C4" s="17" t="s">
        <v>81</v>
      </c>
      <c r="D4" s="17" t="s">
        <v>82</v>
      </c>
      <c r="E4" s="17" t="s">
        <v>83</v>
      </c>
      <c r="F4" s="20"/>
      <c r="G4" s="18" t="s">
        <v>84</v>
      </c>
      <c r="H4" s="18" t="s">
        <v>85</v>
      </c>
      <c r="I4" s="18" t="s">
        <v>86</v>
      </c>
      <c r="J4" s="18" t="s">
        <v>87</v>
      </c>
      <c r="K4" s="18" t="s">
        <v>88</v>
      </c>
      <c r="M4" s="21" t="s">
        <v>52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E11"/>
  <sheetViews>
    <sheetView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5" ht="15.6">
      <c r="B1" s="2"/>
    </row>
    <row r="11" spans="2:5" ht="50.4">
      <c r="B11" s="55" t="s">
        <v>63</v>
      </c>
      <c r="C11" s="56"/>
      <c r="D11" s="56"/>
      <c r="E11" s="5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workbookViewId="0"/>
  </sheetViews>
  <sheetFormatPr defaultColWidth="9.109375" defaultRowHeight="11.4"/>
  <cols>
    <col min="1" max="1" width="2" style="1" customWidth="1"/>
    <col min="2" max="2" width="24.109375" style="1" bestFit="1" customWidth="1"/>
    <col min="3" max="5" width="9.109375" style="1"/>
    <col min="6" max="6" width="2" style="1" customWidth="1"/>
    <col min="7" max="16384" width="9.109375" style="1"/>
  </cols>
  <sheetData>
    <row r="1" spans="2:2" ht="15.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workbookViewId="0"/>
  </sheetViews>
  <sheetFormatPr defaultColWidth="9.109375" defaultRowHeight="11.4"/>
  <cols>
    <col min="1" max="1" width="2" style="1" customWidth="1"/>
    <col min="2" max="2" width="19.44140625" style="1" bestFit="1" customWidth="1"/>
    <col min="3" max="16384" width="9.109375" style="1"/>
  </cols>
  <sheetData>
    <row r="1" spans="2:2" ht="15.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workbookViewId="0"/>
  </sheetViews>
  <sheetFormatPr defaultColWidth="9.109375" defaultRowHeight="11.4"/>
  <cols>
    <col min="1" max="1" width="2" style="1" customWidth="1"/>
    <col min="2" max="2" width="18.44140625" style="1" bestFit="1" customWidth="1"/>
    <col min="3" max="5" width="9.109375" style="1"/>
    <col min="6" max="6" width="2" style="1" customWidth="1"/>
    <col min="7" max="16384" width="9.109375" style="1"/>
  </cols>
  <sheetData>
    <row r="1" spans="2:2" ht="15.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workbookViewId="0"/>
  </sheetViews>
  <sheetFormatPr defaultColWidth="9.109375" defaultRowHeight="11.4"/>
  <cols>
    <col min="1" max="1" width="2" style="1" customWidth="1"/>
    <col min="2" max="2" width="19.109375" style="1" bestFit="1" customWidth="1"/>
    <col min="3" max="6" width="9.109375" style="1"/>
    <col min="7" max="7" width="19.109375" style="1" bestFit="1" customWidth="1"/>
    <col min="8" max="12" width="9.109375" style="1"/>
    <col min="13" max="13" width="19.109375" style="1" bestFit="1" customWidth="1"/>
    <col min="14" max="16384" width="9.109375" style="1"/>
  </cols>
  <sheetData>
    <row r="1" spans="2:2" ht="15.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workbookViewId="0"/>
  </sheetViews>
  <sheetFormatPr defaultColWidth="9.109375" defaultRowHeight="11.4"/>
  <cols>
    <col min="1" max="1" width="2" style="1" customWidth="1"/>
    <col min="2" max="16384" width="9.109375" style="1"/>
  </cols>
  <sheetData>
    <row r="1" spans="2:2" ht="15.6">
      <c r="B1" s="2"/>
    </row>
    <row r="11" spans="2:2" ht="50.4">
      <c r="B11" s="55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Normal="100" workbookViewId="0"/>
  </sheetViews>
  <sheetFormatPr defaultColWidth="9.109375" defaultRowHeight="11.4"/>
  <cols>
    <col min="1" max="1" width="2" style="6" customWidth="1"/>
    <col min="2" max="2" width="27.88671875" style="6" bestFit="1" customWidth="1"/>
    <col min="3" max="3" width="9.109375" style="6"/>
    <col min="4" max="6" width="10.5546875" style="6" bestFit="1" customWidth="1"/>
    <col min="7" max="16384" width="9.109375" style="6"/>
  </cols>
  <sheetData>
    <row r="1" spans="2:13" ht="15.6">
      <c r="B1" s="5" t="s">
        <v>1</v>
      </c>
    </row>
    <row r="3" spans="2:13" ht="24">
      <c r="B3" s="7" t="s">
        <v>48</v>
      </c>
      <c r="C3" s="7"/>
      <c r="D3" s="8" t="s">
        <v>89</v>
      </c>
      <c r="E3" s="8" t="s">
        <v>90</v>
      </c>
      <c r="F3" s="8" t="s">
        <v>91</v>
      </c>
    </row>
    <row r="4" spans="2:13">
      <c r="B4" s="6" t="s">
        <v>7</v>
      </c>
      <c r="D4" s="12">
        <v>177203</v>
      </c>
      <c r="E4" s="12">
        <v>188618</v>
      </c>
      <c r="F4" s="12">
        <v>208366</v>
      </c>
    </row>
    <row r="5" spans="2:13">
      <c r="B5" s="6" t="s">
        <v>8</v>
      </c>
      <c r="D5" s="12">
        <v>3520</v>
      </c>
      <c r="E5" s="12">
        <v>2416</v>
      </c>
      <c r="F5" s="12">
        <v>2585</v>
      </c>
      <c r="J5" s="42"/>
      <c r="K5" s="42"/>
      <c r="L5" s="42"/>
      <c r="M5" s="42"/>
    </row>
    <row r="6" spans="2:13" ht="12">
      <c r="B6" s="30" t="s">
        <v>9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2"/>
      <c r="E7" s="12"/>
      <c r="F7" s="12"/>
    </row>
    <row r="8" spans="2:13">
      <c r="B8" s="6" t="s">
        <v>10</v>
      </c>
      <c r="D8" s="12">
        <v>-139903.0394666667</v>
      </c>
      <c r="E8" s="12">
        <v>-138922.98879999999</v>
      </c>
      <c r="F8" s="12">
        <v>-150080.46882539699</v>
      </c>
    </row>
    <row r="9" spans="2:13">
      <c r="B9" s="6" t="s">
        <v>65</v>
      </c>
      <c r="D9" s="12">
        <v>-2491.3280000000004</v>
      </c>
      <c r="E9" s="12">
        <v>-11649.177600000001</v>
      </c>
      <c r="F9" s="12">
        <v>-7442.6495999999997</v>
      </c>
    </row>
    <row r="10" spans="2:13">
      <c r="B10" s="6" t="s">
        <v>11</v>
      </c>
      <c r="D10" s="12">
        <v>-16389.593600000004</v>
      </c>
      <c r="E10" s="12">
        <v>-17878.310399999998</v>
      </c>
      <c r="F10" s="12">
        <v>-22293.312000000005</v>
      </c>
    </row>
    <row r="11" spans="2:13">
      <c r="B11" s="6" t="s">
        <v>12</v>
      </c>
      <c r="D11" s="12">
        <v>-290.72640000000007</v>
      </c>
      <c r="E11" s="12">
        <v>-246.13120000000004</v>
      </c>
      <c r="F11" s="12">
        <v>-120.92160000000001</v>
      </c>
    </row>
    <row r="12" spans="2:13">
      <c r="B12" s="6" t="s">
        <v>13</v>
      </c>
      <c r="D12" s="12">
        <v>-1330.9952000000003</v>
      </c>
      <c r="E12" s="12">
        <v>-1123.4560000000001</v>
      </c>
      <c r="F12" s="12">
        <v>-1452.7744000000002</v>
      </c>
    </row>
    <row r="13" spans="2:13">
      <c r="D13" s="12"/>
      <c r="E13" s="12"/>
      <c r="F13" s="12"/>
    </row>
    <row r="14" spans="2:13" ht="12">
      <c r="B14" s="30" t="s">
        <v>14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2"/>
      <c r="E15" s="12"/>
      <c r="F15" s="12"/>
    </row>
    <row r="16" spans="2:13">
      <c r="B16" s="6" t="s">
        <v>15</v>
      </c>
      <c r="D16" s="12">
        <v>-2907.8000000000006</v>
      </c>
      <c r="E16" s="12">
        <v>-4649.8</v>
      </c>
      <c r="F16" s="12">
        <v>-6430.6600000000008</v>
      </c>
    </row>
    <row r="17" spans="2:6">
      <c r="D17" s="12"/>
      <c r="E17" s="12"/>
      <c r="F17" s="12"/>
    </row>
    <row r="18" spans="2:6" ht="12">
      <c r="B18" s="30" t="s">
        <v>16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2"/>
      <c r="E19" s="12"/>
      <c r="F19" s="12"/>
    </row>
    <row r="20" spans="2:6">
      <c r="B20" s="6" t="s">
        <v>17</v>
      </c>
      <c r="D20" s="12">
        <v>-1266.3000000000002</v>
      </c>
      <c r="E20" s="12">
        <v>-2190.9</v>
      </c>
      <c r="F20" s="12">
        <v>-2663.92</v>
      </c>
    </row>
    <row r="21" spans="2:6">
      <c r="B21" s="6" t="s">
        <v>18</v>
      </c>
      <c r="D21" s="12">
        <v>-317.58000000000004</v>
      </c>
      <c r="E21" s="12">
        <v>-864.30000000000007</v>
      </c>
      <c r="F21" s="12">
        <v>-320.26</v>
      </c>
    </row>
    <row r="22" spans="2:6">
      <c r="D22" s="12"/>
      <c r="E22" s="12"/>
      <c r="F22" s="12"/>
    </row>
    <row r="23" spans="2:6" ht="12">
      <c r="B23" s="30" t="s">
        <v>19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2"/>
      <c r="E24" s="12"/>
      <c r="F24" s="12"/>
    </row>
    <row r="25" spans="2:6">
      <c r="B25" s="6" t="s">
        <v>20</v>
      </c>
      <c r="D25" s="12">
        <v>-3805.7759999999998</v>
      </c>
      <c r="E25" s="12">
        <v>-3050.192</v>
      </c>
      <c r="F25" s="12">
        <v>-3814.88</v>
      </c>
    </row>
    <row r="26" spans="2:6">
      <c r="D26" s="12"/>
      <c r="E26" s="12"/>
      <c r="F26" s="12"/>
    </row>
    <row r="27" spans="2:6" ht="12.6" thickBot="1">
      <c r="B27" s="9" t="s">
        <v>21</v>
      </c>
      <c r="C27" s="9"/>
      <c r="D27" s="13">
        <f>D23+D25</f>
        <v>12019.861333333281</v>
      </c>
      <c r="E27" s="13">
        <f>E23+E25</f>
        <v>10458.744000000017</v>
      </c>
      <c r="F27" s="13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workbookViewId="0"/>
  </sheetViews>
  <sheetFormatPr defaultColWidth="9.109375" defaultRowHeight="11.4"/>
  <cols>
    <col min="1" max="1" width="2" style="6" customWidth="1"/>
    <col min="2" max="2" width="24.109375" style="6" bestFit="1" customWidth="1"/>
    <col min="3" max="3" width="9.109375" style="6"/>
    <col min="4" max="4" width="10.88671875" style="6" customWidth="1"/>
    <col min="5" max="5" width="10.6640625" style="6" customWidth="1"/>
    <col min="6" max="6" width="10" style="6" bestFit="1" customWidth="1"/>
    <col min="7" max="7" width="9.109375" style="6"/>
    <col min="8" max="8" width="22.109375" style="6" bestFit="1" customWidth="1"/>
    <col min="9" max="9" width="9.109375" style="6"/>
    <col min="10" max="10" width="10" style="6" bestFit="1" customWidth="1"/>
    <col min="11" max="11" width="10.5546875" style="6" customWidth="1"/>
    <col min="12" max="12" width="11.109375" style="6" customWidth="1"/>
    <col min="13" max="16384" width="9.109375" style="6"/>
  </cols>
  <sheetData>
    <row r="1" spans="2:12" ht="15.6">
      <c r="B1" s="5" t="s">
        <v>0</v>
      </c>
    </row>
    <row r="3" spans="2:12" ht="24">
      <c r="B3" s="7" t="s">
        <v>48</v>
      </c>
      <c r="C3" s="7"/>
      <c r="D3" s="8" t="s">
        <v>92</v>
      </c>
      <c r="E3" s="8" t="s">
        <v>93</v>
      </c>
      <c r="F3" s="8" t="s">
        <v>94</v>
      </c>
      <c r="H3" s="7" t="s">
        <v>48</v>
      </c>
      <c r="I3" s="7"/>
      <c r="J3" s="8" t="s">
        <v>92</v>
      </c>
      <c r="K3" s="8" t="s">
        <v>93</v>
      </c>
      <c r="L3" s="8" t="s">
        <v>94</v>
      </c>
    </row>
    <row r="4" spans="2:12">
      <c r="B4" s="6" t="s">
        <v>26</v>
      </c>
      <c r="D4" s="12">
        <v>5961.6</v>
      </c>
      <c r="E4" s="12">
        <v>5840</v>
      </c>
      <c r="F4" s="12">
        <v>5650</v>
      </c>
      <c r="G4" s="12"/>
      <c r="H4" s="12" t="s">
        <v>32</v>
      </c>
      <c r="I4" s="12"/>
      <c r="J4" s="12">
        <v>6784.8</v>
      </c>
      <c r="K4" s="12">
        <v>6800</v>
      </c>
      <c r="L4" s="12">
        <v>7508</v>
      </c>
    </row>
    <row r="5" spans="2:12">
      <c r="B5" s="6" t="s">
        <v>37</v>
      </c>
      <c r="D5" s="12">
        <v>45106.400000000001</v>
      </c>
      <c r="E5" s="12">
        <v>49072.4</v>
      </c>
      <c r="F5" s="12">
        <v>56109.2</v>
      </c>
      <c r="G5" s="12"/>
      <c r="H5" s="12" t="s">
        <v>33</v>
      </c>
      <c r="I5" s="12"/>
      <c r="J5" s="12">
        <v>46224</v>
      </c>
      <c r="K5" s="12">
        <v>44414.400000000001</v>
      </c>
      <c r="L5" s="12">
        <v>46513.2</v>
      </c>
    </row>
    <row r="6" spans="2:12">
      <c r="B6" s="6" t="s">
        <v>46</v>
      </c>
      <c r="D6" s="12">
        <v>8824</v>
      </c>
      <c r="E6" s="12">
        <v>9831</v>
      </c>
      <c r="F6" s="12">
        <v>10323</v>
      </c>
      <c r="G6" s="12"/>
      <c r="H6" s="12" t="s">
        <v>34</v>
      </c>
      <c r="I6" s="12"/>
      <c r="J6" s="12">
        <v>16393.7</v>
      </c>
      <c r="K6" s="12">
        <v>25993.7</v>
      </c>
      <c r="L6" s="12">
        <v>21516</v>
      </c>
    </row>
    <row r="7" spans="2:12">
      <c r="D7" s="12"/>
      <c r="E7" s="12"/>
      <c r="F7" s="12"/>
      <c r="G7" s="12"/>
      <c r="H7" s="12" t="s">
        <v>35</v>
      </c>
      <c r="I7" s="12"/>
      <c r="J7" s="12">
        <v>12019.861333333281</v>
      </c>
      <c r="K7" s="12">
        <v>10458.744000000017</v>
      </c>
      <c r="L7" s="12">
        <v>16331.153574603002</v>
      </c>
    </row>
    <row r="8" spans="2:12" ht="12.6" thickBot="1">
      <c r="B8" s="9" t="s">
        <v>49</v>
      </c>
      <c r="C8" s="14"/>
      <c r="D8" s="13">
        <f>D6+D5+D4</f>
        <v>59892</v>
      </c>
      <c r="E8" s="13">
        <f>E6+E5+E4</f>
        <v>64743.4</v>
      </c>
      <c r="F8" s="13">
        <f>F6+F5+F4</f>
        <v>72082.2</v>
      </c>
      <c r="G8" s="12"/>
      <c r="H8" s="13" t="s">
        <v>36</v>
      </c>
      <c r="I8" s="29"/>
      <c r="J8" s="13">
        <f>SUM(J4:J7)</f>
        <v>81422.361333333276</v>
      </c>
      <c r="K8" s="13">
        <f>SUM(K4:K7)</f>
        <v>87666.844000000026</v>
      </c>
      <c r="L8" s="13">
        <f>SUM(L4:L7)</f>
        <v>91868.353574602996</v>
      </c>
    </row>
    <row r="9" spans="2:12">
      <c r="D9" s="12"/>
      <c r="E9" s="12"/>
      <c r="F9" s="12"/>
      <c r="G9" s="12"/>
      <c r="H9" s="12"/>
      <c r="I9" s="12"/>
      <c r="J9" s="12"/>
      <c r="K9" s="12"/>
      <c r="L9" s="12"/>
    </row>
    <row r="10" spans="2:12">
      <c r="B10" s="6" t="s">
        <v>29</v>
      </c>
      <c r="D10" s="12">
        <v>31167.200000000001</v>
      </c>
      <c r="E10" s="12">
        <v>36396.800000000003</v>
      </c>
      <c r="F10" s="12">
        <v>46212</v>
      </c>
      <c r="G10" s="12"/>
      <c r="H10" s="12" t="s">
        <v>38</v>
      </c>
      <c r="I10" s="12"/>
      <c r="J10" s="12">
        <v>15891.2</v>
      </c>
      <c r="K10" s="12">
        <v>26351.599999999999</v>
      </c>
      <c r="L10" s="12">
        <v>36189.599999999999</v>
      </c>
    </row>
    <row r="11" spans="2:12">
      <c r="B11" s="6" t="s">
        <v>27</v>
      </c>
      <c r="D11" s="12">
        <v>32883.599999999999</v>
      </c>
      <c r="E11" s="12">
        <v>38556</v>
      </c>
      <c r="F11" s="12">
        <v>43581.599999999999</v>
      </c>
      <c r="G11" s="12"/>
      <c r="H11" s="12" t="s">
        <v>39</v>
      </c>
      <c r="I11" s="12"/>
      <c r="J11" s="12">
        <v>5315</v>
      </c>
      <c r="K11" s="12">
        <v>4334</v>
      </c>
      <c r="L11" s="12">
        <v>6473.0464253970422</v>
      </c>
    </row>
    <row r="12" spans="2:12">
      <c r="B12" s="6" t="s">
        <v>28</v>
      </c>
      <c r="D12" s="12">
        <v>8841.6</v>
      </c>
      <c r="E12" s="12">
        <v>11359.199999999999</v>
      </c>
      <c r="F12" s="12">
        <v>17602.8</v>
      </c>
      <c r="G12" s="12"/>
      <c r="H12" s="12" t="s">
        <v>45</v>
      </c>
      <c r="I12" s="12"/>
      <c r="J12" s="12">
        <v>478.83866666668911</v>
      </c>
      <c r="K12" s="12">
        <v>1217.9560000000056</v>
      </c>
      <c r="L12" s="12">
        <v>1760.3999999999999</v>
      </c>
    </row>
    <row r="13" spans="2:12">
      <c r="D13" s="12"/>
      <c r="E13" s="12"/>
      <c r="F13" s="12"/>
      <c r="G13" s="12"/>
      <c r="H13" s="12" t="s">
        <v>40</v>
      </c>
      <c r="I13" s="12"/>
      <c r="J13" s="12">
        <v>175.2</v>
      </c>
      <c r="K13" s="12">
        <v>248.39999999999998</v>
      </c>
      <c r="L13" s="12">
        <v>240</v>
      </c>
    </row>
    <row r="14" spans="2:12">
      <c r="B14" s="6" t="s">
        <v>30</v>
      </c>
      <c r="D14" s="12">
        <v>11791.199999999999</v>
      </c>
      <c r="E14" s="12">
        <v>19408.8</v>
      </c>
      <c r="F14" s="12">
        <v>8173.6</v>
      </c>
      <c r="G14" s="12"/>
      <c r="H14" s="12"/>
      <c r="I14" s="12"/>
      <c r="J14" s="12"/>
      <c r="K14" s="12"/>
      <c r="L14" s="12"/>
    </row>
    <row r="15" spans="2:12" ht="12.6" thickBot="1">
      <c r="B15" s="9" t="s">
        <v>50</v>
      </c>
      <c r="C15" s="14"/>
      <c r="D15" s="13">
        <f>+D14+D12+D11+D10</f>
        <v>84683.599999999991</v>
      </c>
      <c r="E15" s="13">
        <f>+E14+E12+E11+E10</f>
        <v>105720.8</v>
      </c>
      <c r="F15" s="13">
        <f>+F14+F12+F11+F10</f>
        <v>115570</v>
      </c>
      <c r="G15" s="12"/>
      <c r="H15" s="12" t="s">
        <v>41</v>
      </c>
      <c r="I15" s="12"/>
      <c r="J15" s="12">
        <v>37402.600000000006</v>
      </c>
      <c r="K15" s="12">
        <v>45594.6</v>
      </c>
      <c r="L15" s="12">
        <v>50680.399999999994</v>
      </c>
    </row>
    <row r="16" spans="2:12">
      <c r="D16" s="12"/>
      <c r="E16" s="12"/>
      <c r="F16" s="12"/>
      <c r="G16" s="12"/>
      <c r="H16" s="12" t="s">
        <v>42</v>
      </c>
      <c r="I16" s="12"/>
      <c r="J16" s="12">
        <v>3890.3999999999996</v>
      </c>
      <c r="K16" s="12">
        <v>5050.8</v>
      </c>
      <c r="L16" s="12">
        <v>440.4</v>
      </c>
    </row>
    <row r="17" spans="2:12" ht="12.6" thickBot="1">
      <c r="D17" s="12"/>
      <c r="E17" s="12"/>
      <c r="F17" s="12"/>
      <c r="G17" s="12"/>
      <c r="H17" s="13" t="s">
        <v>43</v>
      </c>
      <c r="I17" s="29"/>
      <c r="J17" s="13">
        <f>J16+J15+SUM(J10:J13)</f>
        <v>63153.238666666701</v>
      </c>
      <c r="K17" s="13">
        <f>K16+K15+SUM(K10:K13)</f>
        <v>82797.356</v>
      </c>
      <c r="L17" s="13">
        <f>L16+L15+SUM(L10:L13)</f>
        <v>95783.846425397031</v>
      </c>
    </row>
    <row r="18" spans="2:12">
      <c r="D18" s="12"/>
      <c r="E18" s="12"/>
      <c r="F18" s="12"/>
      <c r="G18" s="12"/>
      <c r="H18" s="12"/>
      <c r="I18" s="12"/>
      <c r="J18" s="12"/>
      <c r="K18" s="12"/>
      <c r="L18" s="12"/>
    </row>
    <row r="19" spans="2:12" ht="12.6" thickBot="1">
      <c r="B19" s="9" t="s">
        <v>31</v>
      </c>
      <c r="C19" s="14"/>
      <c r="D19" s="13">
        <f>D15+D8</f>
        <v>144575.59999999998</v>
      </c>
      <c r="E19" s="13">
        <f>E15+E8</f>
        <v>170464.2</v>
      </c>
      <c r="F19" s="13">
        <f>F15+F8</f>
        <v>187652.2</v>
      </c>
      <c r="G19" s="12"/>
      <c r="H19" s="13" t="s">
        <v>44</v>
      </c>
      <c r="I19" s="29"/>
      <c r="J19" s="13">
        <f>J17+J8</f>
        <v>144575.59999999998</v>
      </c>
      <c r="K19" s="13">
        <f>K17+K8</f>
        <v>170464.2</v>
      </c>
      <c r="L19" s="13">
        <f>L17+L8</f>
        <v>187652.2</v>
      </c>
    </row>
    <row r="22" spans="2:12">
      <c r="J22" s="6">
        <f>J19-D19</f>
        <v>0</v>
      </c>
      <c r="K22" s="6">
        <f>K19-E19</f>
        <v>0</v>
      </c>
      <c r="L22" s="6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2019-03-23T13:15:51Z</dcterms:modified>
</cp:coreProperties>
</file>